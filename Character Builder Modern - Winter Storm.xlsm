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psf\Dropbox\01 Personal Online Storage\98 localhost\CharacterCreator\"/>
    </mc:Choice>
  </mc:AlternateContent>
  <bookViews>
    <workbookView xWindow="120" yWindow="120" windowWidth="28695" windowHeight="12525" tabRatio="572" firstSheet="3" activeTab="3"/>
  </bookViews>
  <sheets>
    <sheet name="Back End" sheetId="3" r:id="rId1"/>
    <sheet name="Back End Traits" sheetId="61" r:id="rId2"/>
    <sheet name="Character Sheet Template" sheetId="4" r:id="rId3"/>
    <sheet name="Character Builder" sheetId="32" r:id="rId4"/>
  </sheets>
  <definedNames>
    <definedName name="Alertness">'Character Builder'!$D$29</definedName>
    <definedName name="AlertnessList">'Back End'!$L$11:$L$16</definedName>
    <definedName name="AlertnessNote">'Character Builder'!$H$29</definedName>
    <definedName name="AlertnessSpecBox">'Back End'!$D$34</definedName>
    <definedName name="AllTraitsGen">'Character Builder'!$G$48:$J$53</definedName>
    <definedName name="AnimalHandling">'Character Builder'!$D$33</definedName>
    <definedName name="AnimalHandlingList">'Back End'!$G$11:$G$16</definedName>
    <definedName name="AnimalHandlingNote">'Character Builder'!$H$33</definedName>
    <definedName name="AnimalHandlingSpecBox">'Back End'!$D$36</definedName>
    <definedName name="ArcanaList">'Back End'!$O$11:$O$13</definedName>
    <definedName name="Artistry">'Character Builder'!$D$35</definedName>
    <definedName name="ArtistryList">'Back End'!$M$11:$M$14</definedName>
    <definedName name="ArtistryNote">'Character Builder'!$H$35</definedName>
    <definedName name="ArtistrySpecBox">'Back End'!$D$41</definedName>
    <definedName name="asd">'Back End'!#REF!</definedName>
    <definedName name="Athletics">'Character Builder'!$D$26</definedName>
    <definedName name="AthleticsList">'Back End'!$A$11:$A$18</definedName>
    <definedName name="AthleticsNote">'Character Builder'!$H$26</definedName>
    <definedName name="AthleticsSpecBox">'Back End'!$D$32</definedName>
    <definedName name="BalanceList">'Back End'!$A$12:$A$18</definedName>
    <definedName name="charLevel">'Character Builder'!$C$4</definedName>
    <definedName name="charName">'Character Builder'!$C$3</definedName>
    <definedName name="CombatAssetsGen">'Character Builder'!$B$77:$B$79</definedName>
    <definedName name="CombatAssetsList">'Back End Traits'!$I$10:$I$12</definedName>
    <definedName name="CombatAssetsTitle">'Back End Traits'!$I$9</definedName>
    <definedName name="CombatFlawsGen">'Character Builder'!$B$81:$B$83</definedName>
    <definedName name="CombatFlawsList">'Back End Traits'!$M$10:$M$12</definedName>
    <definedName name="CombatFlawsTitle">'Back End Traits'!$M$9</definedName>
    <definedName name="Craft">'Character Builder'!$D$36</definedName>
    <definedName name="CraftList">'Back End'!$N$11:$N$14</definedName>
    <definedName name="CraftNote">'Character Builder'!$H$36</definedName>
    <definedName name="CraftSpecBox">'Back End'!$D$43</definedName>
    <definedName name="Demolitions">'Character Builder'!$D$37</definedName>
    <definedName name="DemolitionsList">'Back End'!$O$11:$O$15</definedName>
    <definedName name="DemolitionsNote">'Character Builder'!$H$37</definedName>
    <definedName name="DemolitionsSpecBox">'Back End'!$D$42</definedName>
    <definedName name="DevicesList">'Back End'!$P$11:$P$14</definedName>
    <definedName name="Discipline">'Character Builder'!$D$30</definedName>
    <definedName name="DisciplineList">'Back End'!$H$11:$H$13</definedName>
    <definedName name="DisciplineNote">'Character Builder'!$H$30</definedName>
    <definedName name="DisciplineSpecBox">'Back End'!$D$37</definedName>
    <definedName name="HitPoints">'Character Builder'!$H$11</definedName>
    <definedName name="Initiative">'Character Builder'!$H$12</definedName>
    <definedName name="James">#REF!</definedName>
    <definedName name="KnowledgeArts">'Character Builder'!$D$41</definedName>
    <definedName name="KnowledgeArtsList">'Back End'!$S$11:$S$16</definedName>
    <definedName name="KnowledgeArtsNote">'Character Builder'!$H$41</definedName>
    <definedName name="KnowledgeArtsSpecBox">'Back End'!$D$47</definedName>
    <definedName name="KnowledgeSciences">'Character Builder'!$D$42</definedName>
    <definedName name="KnowledgeSciencesList">'Back End'!$T$11:$T$16</definedName>
    <definedName name="KnowledgeSciencesNote">'Character Builder'!$H$42</definedName>
    <definedName name="KnowledgeSciencesSpecBox">'Back End'!$D$48</definedName>
    <definedName name="Languages">'Character Builder'!$D$44</definedName>
    <definedName name="LanguagesList">'Back End'!$V$10:$V$11</definedName>
    <definedName name="LanguagesNote">'Character Builder'!$H$44</definedName>
    <definedName name="LanguagesSpecBox">'Back End'!$D$50</definedName>
    <definedName name="Mechanics">'Character Builder'!$D$38</definedName>
    <definedName name="MechanicsList">'Back End'!$P$11:$P$15</definedName>
    <definedName name="MechanicsNote">'Character Builder'!$H$38</definedName>
    <definedName name="MechanicsSpecBox">'Back End'!$D$44</definedName>
    <definedName name="Melee">'Character Builder'!$D$23</definedName>
    <definedName name="MeleeList">'Back End'!$B$11:$B$20</definedName>
    <definedName name="MeleeNote">'Character Builder'!$H$23</definedName>
    <definedName name="MeleeSpecBox">'Back End'!$D$29</definedName>
    <definedName name="MundaneAssetMajorBought">'Character Builder'!$K$50:$K$63</definedName>
    <definedName name="MundaneAssetMinorBought">'Character Builder'!$H$50:$H$63</definedName>
    <definedName name="MundaneAssetQuirksBought">'Character Builder'!$E$50:$E$63</definedName>
    <definedName name="MundaneAssetsGen">'Character Builder'!$B$52:$B$63</definedName>
    <definedName name="MundaneAssetsList">'Back End Traits'!$A$10:$A$23</definedName>
    <definedName name="MundaneAssetsTitle">'Back End Traits'!$A$9</definedName>
    <definedName name="MundaneFlawsGen">'Character Builder'!$B$65:$B$75</definedName>
    <definedName name="MundaneFlawsList">'Back End Traits'!$E$10:$E$20</definedName>
    <definedName name="MundaneFlawsTitle">'Back End Traits'!$E$9</definedName>
    <definedName name="PactSkills">'Back End'!$A$29:$A$50</definedName>
    <definedName name="Performance">'Character Builder'!$D$34</definedName>
    <definedName name="PerformanceList">'Back End'!$I$11:$I$17</definedName>
    <definedName name="PerformanceNote">'Character Builder'!$H$34</definedName>
    <definedName name="PerformanceSpecBox">'Back End'!$D$40</definedName>
    <definedName name="PerformList">'Back End'!$I$11:$I$17</definedName>
    <definedName name="Profession">'Character Builder'!$D$43</definedName>
    <definedName name="ProfessionList">'Back End'!$U$10:$U$11</definedName>
    <definedName name="ProfessionNote">'Character Builder'!$H$43</definedName>
    <definedName name="ProfessionSpecBox">'Back End'!$D$49</definedName>
    <definedName name="Ranged">'Character Builder'!$D$24</definedName>
    <definedName name="RangedList">'Back End'!$C$11:$C$16</definedName>
    <definedName name="RangedNote">'Character Builder'!$H$24</definedName>
    <definedName name="RangedSpecBox">'Back End'!$D$30</definedName>
    <definedName name="SkillPointsSpent">'Character Builder'!$F$26:$F$44</definedName>
    <definedName name="SkillScores">'Character Builder'!$E$26:$E$46</definedName>
    <definedName name="Social">'Character Builder'!$D$31</definedName>
    <definedName name="SocialList">'Back End'!$K$11:$K$15</definedName>
    <definedName name="SocialNote">'Character Builder'!$H$31</definedName>
    <definedName name="SocialSpecBox">'Back End'!$D$38</definedName>
    <definedName name="SpecBox">'Character Builder'!#REF!</definedName>
    <definedName name="StatPointsSpent">'Character Builder'!$D$10:$D$18</definedName>
    <definedName name="statsInput">'Character Builder'!$C$10:$C$18</definedName>
    <definedName name="Stealth">'Character Builder'!$D$27</definedName>
    <definedName name="StealthList">'Back End'!$D$11:$D$13</definedName>
    <definedName name="StealthNote">'Character Builder'!$H$27</definedName>
    <definedName name="StealthSpecBox">'Back End'!$D$33</definedName>
    <definedName name="Streetwise">'Character Builder'!$D$32</definedName>
    <definedName name="StreetwiseList">'Back End'!$J$11:$J$12</definedName>
    <definedName name="StreetwiseNote">'Character Builder'!$H$32</definedName>
    <definedName name="StreetwiseSpecBox">'Back End'!$D$39</definedName>
    <definedName name="SuparnaturalFlawsList">'Back End Traits'!$U$10:$U$12</definedName>
    <definedName name="SupernaturalAssetsGen">'Character Builder'!$B$85:$B$92</definedName>
    <definedName name="SupernaturalAssetsList">'Back End Traits'!$Q$10:$Q$17</definedName>
    <definedName name="SupernaturalAssetsTitle">'Back End Traits'!$Q$9</definedName>
    <definedName name="SupernaturalFlawsGen">'Character Builder'!$B$94:$B$96</definedName>
    <definedName name="SupernaturalFlawsList">'Back End Traits'!$U$10:$U$12</definedName>
    <definedName name="SupernaturalFlawsTitle">'Back End Traits'!$U$9</definedName>
    <definedName name="Survival">'Character Builder'!$D$28</definedName>
    <definedName name="SurvivalList">'Back End'!$E$11:$E$17</definedName>
    <definedName name="SurvivalNote">'Character Builder'!$H$28</definedName>
    <definedName name="SurvivalSpecBox">'Back End'!$D$35</definedName>
    <definedName name="TechHardware">'Character Builder'!$D$39</definedName>
    <definedName name="TechHardwareList">'Back End'!$Q$11:$Q$14</definedName>
    <definedName name="TechHardwareNote">'Character Builder'!$H$39</definedName>
    <definedName name="TechHardwareSpecBox">'Back End'!$D$45</definedName>
    <definedName name="TechSoftware">'Character Builder'!$D$40</definedName>
    <definedName name="TechSoftwareList">'Back End'!$R$11:$R$15</definedName>
    <definedName name="TechSoftwareNote">'Character Builder'!$H$40</definedName>
    <definedName name="TechSoftwareSpecBox">'Back End'!$D$46</definedName>
    <definedName name="Unarmed">'Character Builder'!$D$25</definedName>
    <definedName name="UnarmedList">'Back End'!$F$11:$F$13</definedName>
    <definedName name="UnarmedNote">'Character Builder'!$H$25</definedName>
    <definedName name="UnarmedSpecBox">'Back End'!$D$31</definedName>
    <definedName name="Willpower">'Character Builder'!$H$10</definedName>
  </definedNames>
  <calcPr calcId="152511"/>
</workbook>
</file>

<file path=xl/calcChain.xml><?xml version="1.0" encoding="utf-8"?>
<calcChain xmlns="http://schemas.openxmlformats.org/spreadsheetml/2006/main">
  <c r="F25" i="32" l="1"/>
  <c r="F44" i="32" l="1"/>
  <c r="F43" i="32"/>
  <c r="F42" i="32"/>
  <c r="F41" i="32"/>
  <c r="F40" i="32"/>
  <c r="F39" i="32"/>
  <c r="J53" i="32"/>
  <c r="J52" i="32"/>
  <c r="J50" i="32"/>
  <c r="J49" i="32"/>
  <c r="H17" i="32"/>
  <c r="H16" i="32"/>
  <c r="H15" i="32"/>
  <c r="H12" i="32"/>
  <c r="H11" i="32"/>
  <c r="H10" i="32"/>
  <c r="F23" i="32"/>
  <c r="F24" i="32"/>
  <c r="F27" i="32"/>
  <c r="F28" i="32"/>
  <c r="F33" i="32"/>
  <c r="F30" i="32"/>
  <c r="F34" i="32"/>
  <c r="F32" i="32"/>
  <c r="F31" i="32"/>
  <c r="F29" i="32"/>
  <c r="F35" i="32"/>
  <c r="F36" i="32"/>
  <c r="F38" i="32"/>
  <c r="F37" i="32"/>
  <c r="F26" i="32"/>
  <c r="D18" i="32"/>
  <c r="D17" i="32"/>
  <c r="D16" i="32"/>
  <c r="D15" i="32"/>
  <c r="D14" i="32"/>
  <c r="D13" i="32"/>
  <c r="D12" i="32"/>
  <c r="D11" i="32"/>
  <c r="D10" i="32"/>
  <c r="C5" i="32" l="1"/>
  <c r="C4" i="32" s="1"/>
</calcChain>
</file>

<file path=xl/comments1.xml><?xml version="1.0" encoding="utf-8"?>
<comments xmlns="http://schemas.openxmlformats.org/spreadsheetml/2006/main">
  <authors>
    <author>Dave-on-the-PC</author>
  </authors>
  <commentList>
    <comment ref="C10" authorId="0" shapeId="0">
      <text>
        <r>
          <rPr>
            <sz val="9"/>
            <color indexed="81"/>
            <rFont val="Tahoma"/>
            <family val="2"/>
          </rPr>
          <t xml:space="preserve">Please enter a score of 1 - 5 for each attribute.
</t>
        </r>
      </text>
    </comment>
  </commentList>
</comments>
</file>

<file path=xl/sharedStrings.xml><?xml version="1.0" encoding="utf-8"?>
<sst xmlns="http://schemas.openxmlformats.org/spreadsheetml/2006/main" count="398" uniqueCount="296">
  <si>
    <t>Strength</t>
  </si>
  <si>
    <t>Agility</t>
  </si>
  <si>
    <t>Stamina</t>
  </si>
  <si>
    <t>Presence</t>
  </si>
  <si>
    <t>Manipulation</t>
  </si>
  <si>
    <t>Composure</t>
  </si>
  <si>
    <t>Intelligence</t>
  </si>
  <si>
    <t>Wits</t>
  </si>
  <si>
    <t>Resolve</t>
  </si>
  <si>
    <t>Athletics</t>
  </si>
  <si>
    <t>Animal Handling</t>
  </si>
  <si>
    <t>Artistry</t>
  </si>
  <si>
    <t>Alertness</t>
  </si>
  <si>
    <t>Craft</t>
  </si>
  <si>
    <t>Discipline</t>
  </si>
  <si>
    <t>Melee</t>
  </si>
  <si>
    <t>Performance</t>
  </si>
  <si>
    <t>Ranged</t>
  </si>
  <si>
    <t>Stealth</t>
  </si>
  <si>
    <t>Streetwise</t>
  </si>
  <si>
    <t>Social</t>
  </si>
  <si>
    <t>Survival</t>
  </si>
  <si>
    <t>Unarmed</t>
  </si>
  <si>
    <t>Skills:</t>
  </si>
  <si>
    <t>Skills</t>
  </si>
  <si>
    <t>Stat</t>
  </si>
  <si>
    <t>Cost</t>
  </si>
  <si>
    <t>Skill</t>
  </si>
  <si>
    <t>Score</t>
  </si>
  <si>
    <t>Traits</t>
  </si>
  <si>
    <t>Quirk</t>
  </si>
  <si>
    <t>Minor</t>
  </si>
  <si>
    <t>Major</t>
  </si>
  <si>
    <t>Flaw</t>
  </si>
  <si>
    <t>Character Level (approx.):</t>
  </si>
  <si>
    <t>Max Hit Points:</t>
  </si>
  <si>
    <t>Current Hit Points:</t>
  </si>
  <si>
    <t>Max Willpower:</t>
  </si>
  <si>
    <t>Current Willpower:</t>
  </si>
  <si>
    <t>Run</t>
  </si>
  <si>
    <t>Jump</t>
  </si>
  <si>
    <t>Climb</t>
  </si>
  <si>
    <t>Tumble</t>
  </si>
  <si>
    <t>Balance</t>
  </si>
  <si>
    <t>Swim</t>
  </si>
  <si>
    <t>Contortion</t>
  </si>
  <si>
    <t>Dodge</t>
  </si>
  <si>
    <t>Shields</t>
  </si>
  <si>
    <t>Knives</t>
  </si>
  <si>
    <t>Axes</t>
  </si>
  <si>
    <t>Large Swords</t>
  </si>
  <si>
    <t>Small Swords</t>
  </si>
  <si>
    <t>Spears</t>
  </si>
  <si>
    <t>Pole-arms</t>
  </si>
  <si>
    <t>Whips</t>
  </si>
  <si>
    <t>Staves</t>
  </si>
  <si>
    <t>Maces</t>
  </si>
  <si>
    <t>Bows</t>
  </si>
  <si>
    <t>Crossbows</t>
  </si>
  <si>
    <t>Hiding</t>
  </si>
  <si>
    <t>Moving</t>
  </si>
  <si>
    <t>Surveilance</t>
  </si>
  <si>
    <t>Deserts</t>
  </si>
  <si>
    <t>Forests</t>
  </si>
  <si>
    <t>Seas</t>
  </si>
  <si>
    <t>Grassland</t>
  </si>
  <si>
    <t>Cities</t>
  </si>
  <si>
    <t>Brawling</t>
  </si>
  <si>
    <t>Grappling</t>
  </si>
  <si>
    <t>Training</t>
  </si>
  <si>
    <t>Exotic Species</t>
  </si>
  <si>
    <t>Empathy</t>
  </si>
  <si>
    <t>Leadership</t>
  </si>
  <si>
    <t>Mental Resistance</t>
  </si>
  <si>
    <t>Concentration</t>
  </si>
  <si>
    <t>Woodwind</t>
  </si>
  <si>
    <t>Keyboards</t>
  </si>
  <si>
    <t>Brass</t>
  </si>
  <si>
    <t>Guitars</t>
  </si>
  <si>
    <t>Oratory</t>
  </si>
  <si>
    <t>Singing</t>
  </si>
  <si>
    <t>Acting</t>
  </si>
  <si>
    <t>Black Market</t>
  </si>
  <si>
    <t>Who's Who</t>
  </si>
  <si>
    <t>Diplomacy</t>
  </si>
  <si>
    <t>Intimidate</t>
  </si>
  <si>
    <t>Bluff</t>
  </si>
  <si>
    <t>Barter</t>
  </si>
  <si>
    <t>Etiquette</t>
  </si>
  <si>
    <t>Spot</t>
  </si>
  <si>
    <t>Listen</t>
  </si>
  <si>
    <t>Smell</t>
  </si>
  <si>
    <t>Small Details</t>
  </si>
  <si>
    <t>Holistic</t>
  </si>
  <si>
    <t>Painting</t>
  </si>
  <si>
    <t>Sculpture</t>
  </si>
  <si>
    <t>Poetry</t>
  </si>
  <si>
    <t>Smithing</t>
  </si>
  <si>
    <t>Carpentry</t>
  </si>
  <si>
    <t>Pottery</t>
  </si>
  <si>
    <t>History</t>
  </si>
  <si>
    <t>Geography</t>
  </si>
  <si>
    <t>Philosophy</t>
  </si>
  <si>
    <t>Theology</t>
  </si>
  <si>
    <t>Mathematics</t>
  </si>
  <si>
    <t>Traps</t>
  </si>
  <si>
    <t>Clockwork</t>
  </si>
  <si>
    <t>Add New Speciality</t>
  </si>
  <si>
    <t>No. of Athletics Specialities:</t>
  </si>
  <si>
    <t>Remove Speciality</t>
  </si>
  <si>
    <t>No. of Melee Specialities:</t>
  </si>
  <si>
    <t>Jungle</t>
  </si>
  <si>
    <t>Mountains</t>
  </si>
  <si>
    <t>Riding</t>
  </si>
  <si>
    <t>Drawing</t>
  </si>
  <si>
    <t>Plumbing</t>
  </si>
  <si>
    <t>No. of Ranged Specialities:</t>
  </si>
  <si>
    <t>No. of Stealth Specialities:</t>
  </si>
  <si>
    <t>No. of Survival Specialities:</t>
  </si>
  <si>
    <t>No. of Unarmed Specialities:</t>
  </si>
  <si>
    <t>No. of Animal Handling Specialities:</t>
  </si>
  <si>
    <t>No. of Discipline Specialities:</t>
  </si>
  <si>
    <t>No. of Performance Specialities:</t>
  </si>
  <si>
    <t>No. of Streetwise Specialities:</t>
  </si>
  <si>
    <t>No. of Social Specialities:</t>
  </si>
  <si>
    <t>No. of Alertness Specialities:</t>
  </si>
  <si>
    <t>No. of Artistry Specialities:</t>
  </si>
  <si>
    <t>No. of Craft Specialities:</t>
  </si>
  <si>
    <t>No. of Devices Specialities:</t>
  </si>
  <si>
    <t>Character Name:</t>
  </si>
  <si>
    <t>Currernt Level:</t>
  </si>
  <si>
    <t>Points Spent:</t>
  </si>
  <si>
    <t>Part 3 - Skills</t>
  </si>
  <si>
    <t>Maximum Willpower:</t>
  </si>
  <si>
    <t>Maximum Hit Points:</t>
  </si>
  <si>
    <t>Initiative Score:</t>
  </si>
  <si>
    <t>Common Rolls:</t>
  </si>
  <si>
    <t>Reflex Check (Agility + Wits):</t>
  </si>
  <si>
    <t>Fortitude Check (Double Stamina):</t>
  </si>
  <si>
    <t>Endurance Check (Stamina + Resolve):</t>
  </si>
  <si>
    <t>New Spec</t>
  </si>
  <si>
    <t>Speciality List Boxes:</t>
  </si>
  <si>
    <t>Debugging:</t>
  </si>
  <si>
    <t>Horsemanship</t>
  </si>
  <si>
    <t>Die Hard</t>
  </si>
  <si>
    <t>Endurance</t>
  </si>
  <si>
    <t>Innate Balance</t>
  </si>
  <si>
    <t>Toughness</t>
  </si>
  <si>
    <t>Power Napper</t>
  </si>
  <si>
    <t>Fast Learner</t>
  </si>
  <si>
    <t>Good Memory</t>
  </si>
  <si>
    <t>Strong Mind</t>
  </si>
  <si>
    <t>Annoyingly Pretty</t>
  </si>
  <si>
    <t>"Been there, done that"</t>
  </si>
  <si>
    <t>Eye for Trouble</t>
  </si>
  <si>
    <t>Perfect Pitch</t>
  </si>
  <si>
    <t>Sweet and Cheerful</t>
  </si>
  <si>
    <t>Blooded</t>
  </si>
  <si>
    <t>Ageless</t>
  </si>
  <si>
    <t>Magical Resonance</t>
  </si>
  <si>
    <t>Psionic Spark</t>
  </si>
  <si>
    <t>Separated from the Flesh</t>
  </si>
  <si>
    <t>Supernatural</t>
  </si>
  <si>
    <t>Toxin Resistance</t>
  </si>
  <si>
    <t>Chosen of the Gods</t>
  </si>
  <si>
    <t>Fate Weaver</t>
  </si>
  <si>
    <t>Dull Sense</t>
  </si>
  <si>
    <t>Heavy Sleeper</t>
  </si>
  <si>
    <t>Chip on the Shoulder</t>
  </si>
  <si>
    <t>Slow Learner</t>
  </si>
  <si>
    <t>Branded</t>
  </si>
  <si>
    <t>Easily Fooled</t>
  </si>
  <si>
    <t>Memorable</t>
  </si>
  <si>
    <t>Things Don't Go Smooth</t>
  </si>
  <si>
    <t>Unattractive</t>
  </si>
  <si>
    <t>Wrong Foot</t>
  </si>
  <si>
    <t>Combat Traits</t>
  </si>
  <si>
    <t>Mundane Assets</t>
  </si>
  <si>
    <t>Mundane Flaws</t>
  </si>
  <si>
    <t>Combat Flaws</t>
  </si>
  <si>
    <t>Supernatural Flaws</t>
  </si>
  <si>
    <t>Combat Assets</t>
  </si>
  <si>
    <t>Supernatural Assets</t>
  </si>
  <si>
    <t>Cflaw 1</t>
  </si>
  <si>
    <t>Cflaw 2</t>
  </si>
  <si>
    <t>Cflaw 3</t>
  </si>
  <si>
    <t>Casset 2</t>
  </si>
  <si>
    <t>Casset 3</t>
  </si>
  <si>
    <t>Sflaw 1</t>
  </si>
  <si>
    <t>Sflaw 2</t>
  </si>
  <si>
    <t>Sflaw 3</t>
  </si>
  <si>
    <r>
      <rPr>
        <b/>
        <u/>
        <sz val="24"/>
        <color theme="1"/>
        <rFont val="Adobe Arabic"/>
        <family val="1"/>
      </rPr>
      <t>Skill Speciality Lists</t>
    </r>
    <r>
      <rPr>
        <b/>
        <sz val="24"/>
        <color theme="1"/>
        <rFont val="Adobe Arabic"/>
        <family val="1"/>
      </rPr>
      <t xml:space="preserve"> -</t>
    </r>
    <r>
      <rPr>
        <sz val="18"/>
        <color theme="1"/>
        <rFont val="Adobe Arabic"/>
        <family val="1"/>
      </rPr>
      <t xml:space="preserve"> </t>
    </r>
    <r>
      <rPr>
        <sz val="14"/>
        <color theme="1"/>
        <rFont val="Adobe Arabic"/>
        <family val="1"/>
      </rPr>
      <t>(To modify the list, add / remove items from a list, making sure to leave no empty cells. Then, select the Main Skill and press Ctrl+Shft+E to update the SkillList reference)</t>
    </r>
  </si>
  <si>
    <t>Yes?</t>
  </si>
  <si>
    <t>Double time between checks for extended physical activities</t>
  </si>
  <si>
    <t>DC penalties from being off balance reduced by 2</t>
  </si>
  <si>
    <t>DC penalties from being off balance reduced by 1.</t>
  </si>
  <si>
    <t>DC penalties from fatigue reduced by 1.</t>
  </si>
  <si>
    <t>+2HP</t>
  </si>
  <si>
    <t>+4HP</t>
  </si>
  <si>
    <t>Full night's sleep is 3/4 normal length</t>
  </si>
  <si>
    <t>Full night's sleep is 1/2 normal length</t>
  </si>
  <si>
    <t>Takes 3/4 time to add 1st or 2nd point in a skill</t>
  </si>
  <si>
    <t>Takes 3/4 time to add up to 4th dot in a skill</t>
  </si>
  <si>
    <t>+1 dice to all Knowledge-based checks. -1DC to remember specific detail.</t>
  </si>
  <si>
    <t>+1 Willpower</t>
  </si>
  <si>
    <t>+2 Willpower</t>
  </si>
  <si>
    <t>+1 Dice to all checks with chosen skill speciality</t>
  </si>
  <si>
    <t>Minor social benefits / hassles…</t>
  </si>
  <si>
    <t>Major social benefits / hassles…</t>
  </si>
  <si>
    <t>Gain alertness check to avoid being surprised</t>
  </si>
  <si>
    <t>Almost never surprised. Gain alertness checks vs danger.</t>
  </si>
  <si>
    <t>Tell when a note is slightly out of tune.</t>
  </si>
  <si>
    <t>+1 Dice to most social situations</t>
  </si>
  <si>
    <t>DC penalties from fatigue &amp; wounds reduced by 1.</t>
  </si>
  <si>
    <t>Double time between checks for extended physical activities. Also make a single minor action/round when below 1HP</t>
  </si>
  <si>
    <t>+1 dice and -1DC to all Knowledge-based checks</t>
  </si>
  <si>
    <t>+1 dice and -1DC to chosen skill speciality</t>
  </si>
  <si>
    <t>Receive extra setting info.</t>
  </si>
  <si>
    <t>+1 Dice to most social situations &amp; -1DC to resist any negative emotional effect.</t>
  </si>
  <si>
    <t>Skilled</t>
  </si>
  <si>
    <t>+1DC to alertness using that sense</t>
  </si>
  <si>
    <t>That sense is nearly useless.</t>
  </si>
  <si>
    <t>+1DC to alertness while asleep; +1DC to awake at a certain time.</t>
  </si>
  <si>
    <t>Fatigued unless you get a full 8 hours sleep</t>
  </si>
  <si>
    <t>Willpower to retain calm in tense situations</t>
  </si>
  <si>
    <t>+1DC to peacable social actions</t>
  </si>
  <si>
    <t>Each dot in one skill costs +1 point</t>
  </si>
  <si>
    <t>known local criminal</t>
  </si>
  <si>
    <t>known across the land</t>
  </si>
  <si>
    <t>+1DC to notice a lie</t>
  </si>
  <si>
    <t>-1DC to remember details about you</t>
  </si>
  <si>
    <t>-1DC to remember you and to spot you in a crowd</t>
  </si>
  <si>
    <t>Re-roll successful roll 1/day</t>
  </si>
  <si>
    <t>Re-roll successful roll 2/day</t>
  </si>
  <si>
    <t>+1DC to appearance based checks</t>
  </si>
  <si>
    <t>-1 Dice to appearance based checks</t>
  </si>
  <si>
    <t>+1DC to first-contact situations</t>
  </si>
  <si>
    <t>Addicted</t>
  </si>
  <si>
    <t>+1DC to all actions if withdrawing</t>
  </si>
  <si>
    <t>Major withdrawal symptoms if go without drug for 12-24hrs</t>
  </si>
  <si>
    <r>
      <t>Part 1 - Basic Details</t>
    </r>
    <r>
      <rPr>
        <sz val="20"/>
        <color theme="1"/>
        <rFont val="Adobe Arabic"/>
        <family val="1"/>
      </rPr>
      <t xml:space="preserve"> - Enter your character name. The points spend and effective 'level' will auto-update as you build your character.</t>
    </r>
  </si>
  <si>
    <r>
      <t>Part 2 - Attributes</t>
    </r>
    <r>
      <rPr>
        <b/>
        <sz val="20"/>
        <color theme="1"/>
        <rFont val="Adobe Arabic"/>
        <family val="1"/>
      </rPr>
      <t/>
    </r>
  </si>
  <si>
    <t>you like a tipple now and again…</t>
  </si>
  <si>
    <t>Traits are a vital part of making your character unique. You must have at least one asset and at least one flaw. You can use the list from the reference document, or create your own.</t>
  </si>
  <si>
    <t>Number of traits</t>
  </si>
  <si>
    <t>Points Cost</t>
  </si>
  <si>
    <t xml:space="preserve"> Minor Assets:</t>
  </si>
  <si>
    <t xml:space="preserve">Major Assets: </t>
  </si>
  <si>
    <t xml:space="preserve"> Major Flaws: </t>
  </si>
  <si>
    <t>Demolitions</t>
  </si>
  <si>
    <t>Bomb Disposal</t>
  </si>
  <si>
    <t>Small Scale</t>
  </si>
  <si>
    <t>Large Scale</t>
  </si>
  <si>
    <t>Mechanics</t>
  </si>
  <si>
    <t>Engines</t>
  </si>
  <si>
    <t>Guns</t>
  </si>
  <si>
    <t>Electronics</t>
  </si>
  <si>
    <t>Chemicals</t>
  </si>
  <si>
    <t>Tech - Hardware</t>
  </si>
  <si>
    <t>Tech - Software</t>
  </si>
  <si>
    <t>AI</t>
  </si>
  <si>
    <t>Games Programming</t>
  </si>
  <si>
    <t>Web Programming</t>
  </si>
  <si>
    <t>Media Editing Software</t>
  </si>
  <si>
    <t>Database Applications</t>
  </si>
  <si>
    <t>Computer Repairs</t>
  </si>
  <si>
    <t>Audio Engineering</t>
  </si>
  <si>
    <t>Knowledge - Arts</t>
  </si>
  <si>
    <t>Musicology</t>
  </si>
  <si>
    <t>Visual Arts</t>
  </si>
  <si>
    <t>Knowledge - Sciences</t>
  </si>
  <si>
    <t>Chemisty</t>
  </si>
  <si>
    <t>Physics</t>
  </si>
  <si>
    <t>Botony</t>
  </si>
  <si>
    <t>Xenobiology</t>
  </si>
  <si>
    <t>Geology</t>
  </si>
  <si>
    <t>Profession</t>
  </si>
  <si>
    <t>Languages</t>
  </si>
  <si>
    <t>KnowledgeSciences</t>
  </si>
  <si>
    <t>KnowledgeArts</t>
  </si>
  <si>
    <t>TechSoftware</t>
  </si>
  <si>
    <t>TechHardware</t>
  </si>
  <si>
    <t>Perform</t>
  </si>
  <si>
    <t>SpecLists</t>
  </si>
  <si>
    <t>Profession/Language</t>
  </si>
  <si>
    <t xml:space="preserve">Profession Speciality: </t>
  </si>
  <si>
    <t>Languages Speciality::</t>
  </si>
  <si>
    <t>Martial Arts</t>
  </si>
  <si>
    <t>Small Arms</t>
  </si>
  <si>
    <t>Long Arms</t>
  </si>
  <si>
    <t>Heavy Weapons</t>
  </si>
  <si>
    <t>Throwing Weapons</t>
  </si>
  <si>
    <t xml:space="preserve"> </t>
  </si>
  <si>
    <t>Minor Flaws:</t>
  </si>
  <si>
    <t xml:space="preserve">Profession: </t>
  </si>
  <si>
    <t xml:space="preserve">Languages: </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</si>
</sst>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8" formatCode="&quot;£&quot;#,##0.00;[Red]\-&quot;£&quot;#,##0.00"/>
    <numFmt numFmtId="164" formatCode=";;;"/>
  </numFmts>
  <fonts count="21">
    <font>
      <sz val="11"/>
      <color theme="1"/>
      <name val="Calibri"/>
      <family val="2"/>
      <scheme val="minor"/>
    </font>
    <font>
      <sz val="14"/>
      <color theme="1"/>
      <name val="Adobe Arabic"/>
      <family val="1"/>
    </font>
    <font>
      <b/>
      <sz val="14"/>
      <color theme="1"/>
      <name val="Adobe Arabic"/>
      <family val="1"/>
    </font>
    <font>
      <b/>
      <u/>
      <sz val="14"/>
      <color theme="1"/>
      <name val="Adobe Arabic"/>
      <family val="1"/>
    </font>
    <font>
      <sz val="14"/>
      <name val="Adobe Arabic"/>
      <family val="1"/>
    </font>
    <font>
      <b/>
      <u/>
      <sz val="20"/>
      <color theme="1"/>
      <name val="Adobe Arabic"/>
      <family val="1"/>
    </font>
    <font>
      <sz val="9"/>
      <color indexed="81"/>
      <name val="Tahoma"/>
      <family val="2"/>
    </font>
    <font>
      <b/>
      <u/>
      <sz val="18"/>
      <color theme="1"/>
      <name val="Adobe Arabic"/>
      <family val="1"/>
    </font>
    <font>
      <sz val="18"/>
      <color theme="1"/>
      <name val="Adobe Arabic"/>
      <family val="1"/>
    </font>
    <font>
      <b/>
      <sz val="12"/>
      <color theme="1"/>
      <name val="Adobe Arabic"/>
      <family val="1"/>
    </font>
    <font>
      <sz val="12"/>
      <color theme="1"/>
      <name val="Adobe Arabic"/>
      <family val="1"/>
    </font>
    <font>
      <sz val="20"/>
      <color theme="1"/>
      <name val="Adobe Arabic"/>
      <family val="1"/>
    </font>
    <font>
      <b/>
      <u/>
      <sz val="24"/>
      <color theme="1"/>
      <name val="Adobe Arabic"/>
      <family val="1"/>
    </font>
    <font>
      <b/>
      <sz val="24"/>
      <color theme="1"/>
      <name val="Adobe Arabic"/>
      <family val="1"/>
    </font>
    <font>
      <b/>
      <sz val="20"/>
      <color theme="1"/>
      <name val="Adobe Arabic"/>
      <family val="1"/>
    </font>
    <font>
      <b/>
      <u/>
      <sz val="16"/>
      <color theme="1"/>
      <name val="Adobe Arabic"/>
      <family val="1"/>
    </font>
    <font>
      <sz val="11"/>
      <color rgb="FF3F3F76"/>
      <name val="Calibri"/>
      <family val="2"/>
      <scheme val="minor"/>
    </font>
    <font>
      <b/>
      <u/>
      <sz val="12"/>
      <color theme="1"/>
      <name val="Adobe Arabic"/>
      <family val="1"/>
    </font>
    <font>
      <sz val="12"/>
      <color theme="1" tint="4.9989318521683403E-2"/>
      <name val="Adobe Arabic"/>
      <family val="1"/>
    </font>
    <font>
      <sz val="14"/>
      <color rgb="FF000000"/>
      <name val="Calibri"/>
      <family val="2"/>
    </font>
    <font>
      <b/>
      <sz val="26"/>
      <color rgb="FF000000"/>
      <name val="Calibri"/>
      <family val="2"/>
    </font>
  </fonts>
  <fills count="14">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FFCC99"/>
      </patternFill>
    </fill>
    <fill>
      <patternFill patternType="solid">
        <fgColor theme="6" tint="0.39997558519241921"/>
        <bgColor indexed="64"/>
      </patternFill>
    </fill>
  </fills>
  <borders count="5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right style="mediumDashed">
        <color theme="3"/>
      </right>
      <top/>
      <bottom/>
      <diagonal/>
    </border>
    <border>
      <left/>
      <right/>
      <top/>
      <bottom style="mediumDashed">
        <color theme="3"/>
      </bottom>
      <diagonal/>
    </border>
    <border>
      <left/>
      <right style="mediumDashed">
        <color theme="3"/>
      </right>
      <top/>
      <bottom style="mediumDashed">
        <color theme="3"/>
      </bottom>
      <diagonal/>
    </border>
    <border>
      <left style="mediumDashed">
        <color indexed="64"/>
      </left>
      <right/>
      <top style="mediumDashed">
        <color indexed="64"/>
      </top>
      <bottom/>
      <diagonal/>
    </border>
    <border>
      <left/>
      <right/>
      <top style="mediumDashed">
        <color indexed="64"/>
      </top>
      <bottom/>
      <diagonal/>
    </border>
    <border>
      <left/>
      <right style="mediumDashed">
        <color indexed="64"/>
      </right>
      <top style="mediumDashed">
        <color indexed="64"/>
      </top>
      <bottom/>
      <diagonal/>
    </border>
    <border>
      <left style="mediumDashed">
        <color indexed="64"/>
      </left>
      <right/>
      <top/>
      <bottom/>
      <diagonal/>
    </border>
    <border>
      <left/>
      <right style="mediumDashed">
        <color indexed="64"/>
      </right>
      <top/>
      <bottom/>
      <diagonal/>
    </border>
    <border>
      <left style="mediumDashed">
        <color indexed="64"/>
      </left>
      <right/>
      <top/>
      <bottom style="mediumDashed">
        <color indexed="64"/>
      </bottom>
      <diagonal/>
    </border>
    <border>
      <left/>
      <right/>
      <top/>
      <bottom style="mediumDashed">
        <color indexed="64"/>
      </bottom>
      <diagonal/>
    </border>
    <border>
      <left/>
      <right style="mediumDashed">
        <color indexed="64"/>
      </right>
      <top/>
      <bottom style="mediumDashed">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mediumDashed">
        <color indexed="64"/>
      </left>
      <right style="medium">
        <color indexed="64"/>
      </right>
      <top/>
      <bottom/>
      <diagonal/>
    </border>
    <border>
      <left style="thin">
        <color rgb="FF7F7F7F"/>
      </left>
      <right style="thin">
        <color rgb="FF7F7F7F"/>
      </right>
      <top style="thin">
        <color rgb="FF7F7F7F"/>
      </top>
      <bottom style="thin">
        <color rgb="FF7F7F7F"/>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auto="1"/>
      </left>
      <right style="thin">
        <color indexed="64"/>
      </right>
      <top style="thin">
        <color indexed="64"/>
      </top>
      <bottom style="thin">
        <color indexed="64"/>
      </bottom>
      <diagonal/>
    </border>
    <border>
      <left style="thin">
        <color indexed="64"/>
      </left>
      <right style="thin">
        <color rgb="FF7F7F7F"/>
      </right>
      <top style="medium">
        <color indexed="64"/>
      </top>
      <bottom style="thin">
        <color indexed="64"/>
      </bottom>
      <diagonal/>
    </border>
    <border>
      <left style="thin">
        <color rgb="FF7F7F7F"/>
      </left>
      <right style="thin">
        <color rgb="FF7F7F7F"/>
      </right>
      <top style="medium">
        <color indexed="64"/>
      </top>
      <bottom style="thin">
        <color indexed="64"/>
      </bottom>
      <diagonal/>
    </border>
    <border>
      <left style="thin">
        <color rgb="FF7F7F7F"/>
      </left>
      <right style="medium">
        <color indexed="64"/>
      </right>
      <top style="medium">
        <color indexed="64"/>
      </top>
      <bottom style="thin">
        <color indexed="64"/>
      </bottom>
      <diagonal/>
    </border>
    <border>
      <left style="thin">
        <color rgb="FF7F7F7F"/>
      </left>
      <right style="thin">
        <color rgb="FF7F7F7F"/>
      </right>
      <top style="medium">
        <color indexed="64"/>
      </top>
      <bottom style="thin">
        <color rgb="FF7F7F7F"/>
      </bottom>
      <diagonal/>
    </border>
    <border>
      <left style="thin">
        <color rgb="FF7F7F7F"/>
      </left>
      <right style="thin">
        <color rgb="FF7F7F7F"/>
      </right>
      <top style="thin">
        <color rgb="FF7F7F7F"/>
      </top>
      <bottom style="medium">
        <color indexed="64"/>
      </bottom>
      <diagonal/>
    </border>
    <border>
      <left/>
      <right style="thin">
        <color rgb="FF7F7F7F"/>
      </right>
      <top style="thin">
        <color rgb="FF7F7F7F"/>
      </top>
      <bottom style="thin">
        <color rgb="FF7F7F7F"/>
      </bottom>
      <diagonal/>
    </border>
    <border>
      <left/>
      <right style="thin">
        <color indexed="64"/>
      </right>
      <top style="thin">
        <color rgb="FF7F7F7F"/>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medium">
        <color indexed="64"/>
      </top>
      <bottom/>
      <diagonal/>
    </border>
  </borders>
  <cellStyleXfs count="2">
    <xf numFmtId="0" fontId="0" fillId="0" borderId="0"/>
    <xf numFmtId="0" fontId="16" fillId="12" borderId="46" applyNumberFormat="0" applyAlignment="0" applyProtection="0"/>
  </cellStyleXfs>
  <cellXfs count="234">
    <xf numFmtId="0" fontId="0" fillId="0" borderId="0" xfId="0"/>
    <xf numFmtId="0" fontId="1" fillId="0" borderId="0" xfId="0" applyFont="1"/>
    <xf numFmtId="0" fontId="1" fillId="0" borderId="0" xfId="0" applyFont="1" applyBorder="1"/>
    <xf numFmtId="0" fontId="1" fillId="3" borderId="3" xfId="0" applyFont="1" applyFill="1" applyBorder="1" applyAlignment="1">
      <alignment horizontal="right"/>
    </xf>
    <xf numFmtId="0" fontId="1" fillId="3" borderId="5" xfId="0" applyFont="1" applyFill="1" applyBorder="1" applyAlignment="1">
      <alignment horizontal="right"/>
    </xf>
    <xf numFmtId="0" fontId="1" fillId="4" borderId="5" xfId="0" applyFont="1" applyFill="1" applyBorder="1" applyAlignment="1">
      <alignment horizontal="right"/>
    </xf>
    <xf numFmtId="0" fontId="1" fillId="4" borderId="7" xfId="0" applyFont="1" applyFill="1" applyBorder="1" applyAlignment="1">
      <alignment horizontal="right"/>
    </xf>
    <xf numFmtId="0" fontId="1" fillId="3" borderId="9" xfId="0" applyFont="1" applyFill="1" applyBorder="1" applyAlignment="1">
      <alignment horizontal="right"/>
    </xf>
    <xf numFmtId="0" fontId="1" fillId="0" borderId="20" xfId="0" applyFont="1" applyBorder="1"/>
    <xf numFmtId="0" fontId="1" fillId="0" borderId="10" xfId="0" applyFont="1" applyBorder="1"/>
    <xf numFmtId="0" fontId="1" fillId="0" borderId="27" xfId="0" applyFont="1" applyBorder="1"/>
    <xf numFmtId="0" fontId="1" fillId="0" borderId="28" xfId="0" applyFont="1" applyBorder="1"/>
    <xf numFmtId="0" fontId="1" fillId="0" borderId="29" xfId="0" applyFont="1" applyBorder="1"/>
    <xf numFmtId="0" fontId="1" fillId="0" borderId="19" xfId="0" applyFont="1" applyBorder="1"/>
    <xf numFmtId="0" fontId="1" fillId="0" borderId="21" xfId="0" applyFont="1" applyBorder="1"/>
    <xf numFmtId="1" fontId="2" fillId="3" borderId="4" xfId="0" applyNumberFormat="1" applyFont="1" applyFill="1" applyBorder="1" applyAlignment="1">
      <alignment horizontal="center"/>
    </xf>
    <xf numFmtId="1" fontId="2" fillId="3" borderId="6" xfId="0" applyNumberFormat="1" applyFont="1" applyFill="1" applyBorder="1" applyAlignment="1">
      <alignment horizontal="center"/>
    </xf>
    <xf numFmtId="1" fontId="2" fillId="4" borderId="6" xfId="0" applyNumberFormat="1" applyFont="1" applyFill="1" applyBorder="1" applyAlignment="1">
      <alignment horizontal="center"/>
    </xf>
    <xf numFmtId="1" fontId="2" fillId="4" borderId="8" xfId="0" applyNumberFormat="1" applyFont="1" applyFill="1" applyBorder="1" applyAlignment="1">
      <alignment horizontal="center"/>
    </xf>
    <xf numFmtId="1" fontId="2" fillId="3" borderId="10" xfId="0" applyNumberFormat="1" applyFont="1" applyFill="1" applyBorder="1" applyAlignment="1">
      <alignment horizontal="center"/>
    </xf>
    <xf numFmtId="0" fontId="2" fillId="0" borderId="4" xfId="0" applyFont="1" applyBorder="1" applyAlignment="1">
      <alignment horizontal="center"/>
    </xf>
    <xf numFmtId="1" fontId="2" fillId="0" borderId="4" xfId="0" applyNumberFormat="1" applyFont="1" applyBorder="1" applyAlignment="1">
      <alignment horizontal="center"/>
    </xf>
    <xf numFmtId="0" fontId="0" fillId="0" borderId="0" xfId="0" applyProtection="1"/>
    <xf numFmtId="0" fontId="0" fillId="0" borderId="0" xfId="0" applyBorder="1" applyProtection="1"/>
    <xf numFmtId="0" fontId="0" fillId="0" borderId="30" xfId="0" applyBorder="1" applyProtection="1"/>
    <xf numFmtId="0" fontId="0" fillId="0" borderId="31" xfId="0" applyBorder="1" applyProtection="1"/>
    <xf numFmtId="0" fontId="0" fillId="0" borderId="32" xfId="0" applyBorder="1" applyProtection="1"/>
    <xf numFmtId="0" fontId="2" fillId="0" borderId="0" xfId="0" applyFont="1" applyBorder="1" applyProtection="1"/>
    <xf numFmtId="0" fontId="0" fillId="0" borderId="36" xfId="0" applyBorder="1" applyProtection="1"/>
    <xf numFmtId="0" fontId="2" fillId="0" borderId="0" xfId="0" applyFont="1" applyBorder="1" applyAlignment="1" applyProtection="1">
      <alignment horizontal="center"/>
    </xf>
    <xf numFmtId="0" fontId="0" fillId="0" borderId="37" xfId="0" applyBorder="1" applyProtection="1"/>
    <xf numFmtId="0" fontId="4" fillId="3" borderId="16" xfId="0" applyFont="1" applyFill="1" applyBorder="1" applyAlignment="1" applyProtection="1">
      <alignment horizontal="center"/>
    </xf>
    <xf numFmtId="0" fontId="1" fillId="0" borderId="0" xfId="0" applyFont="1" applyBorder="1" applyAlignment="1" applyProtection="1">
      <alignment horizontal="right"/>
    </xf>
    <xf numFmtId="0" fontId="4" fillId="3" borderId="17" xfId="0" applyFont="1" applyFill="1" applyBorder="1" applyAlignment="1" applyProtection="1">
      <alignment horizontal="center"/>
    </xf>
    <xf numFmtId="0" fontId="4" fillId="4" borderId="17" xfId="0" applyFont="1" applyFill="1" applyBorder="1" applyAlignment="1" applyProtection="1">
      <alignment horizontal="center"/>
    </xf>
    <xf numFmtId="0" fontId="1" fillId="0" borderId="0" xfId="0" applyFont="1" applyProtection="1"/>
    <xf numFmtId="1" fontId="2" fillId="0" borderId="0" xfId="0" applyNumberFormat="1" applyFont="1" applyFill="1" applyBorder="1" applyAlignment="1" applyProtection="1">
      <alignment horizontal="center"/>
    </xf>
    <xf numFmtId="0" fontId="4" fillId="0" borderId="0" xfId="0" applyFont="1" applyFill="1" applyBorder="1" applyAlignment="1" applyProtection="1">
      <alignment horizontal="center"/>
    </xf>
    <xf numFmtId="0" fontId="4" fillId="3" borderId="18" xfId="0" applyFont="1" applyFill="1" applyBorder="1" applyAlignment="1" applyProtection="1">
      <alignment horizontal="center"/>
    </xf>
    <xf numFmtId="1" fontId="2" fillId="0" borderId="39" xfId="0" applyNumberFormat="1" applyFont="1" applyFill="1" applyBorder="1" applyAlignment="1" applyProtection="1">
      <alignment horizontal="center"/>
    </xf>
    <xf numFmtId="0" fontId="4" fillId="0" borderId="39" xfId="0" applyFont="1" applyFill="1" applyBorder="1" applyAlignment="1" applyProtection="1">
      <alignment horizontal="center"/>
    </xf>
    <xf numFmtId="0" fontId="0" fillId="0" borderId="39" xfId="0" applyBorder="1" applyProtection="1"/>
    <xf numFmtId="0" fontId="0" fillId="0" borderId="40" xfId="0" applyBorder="1" applyProtection="1"/>
    <xf numFmtId="0" fontId="1" fillId="0" borderId="0" xfId="0" applyFont="1" applyFill="1" applyBorder="1" applyAlignment="1" applyProtection="1">
      <alignment horizontal="right"/>
    </xf>
    <xf numFmtId="0" fontId="3" fillId="0" borderId="0" xfId="0" applyFont="1" applyBorder="1" applyAlignment="1" applyProtection="1">
      <alignment horizontal="center"/>
    </xf>
    <xf numFmtId="0" fontId="1" fillId="5" borderId="1" xfId="0" applyFont="1" applyFill="1" applyBorder="1" applyProtection="1">
      <protection locked="0"/>
    </xf>
    <xf numFmtId="0" fontId="1" fillId="5" borderId="1" xfId="0" applyFont="1" applyFill="1" applyBorder="1" applyProtection="1"/>
    <xf numFmtId="0" fontId="1" fillId="8" borderId="1" xfId="0" applyFont="1" applyFill="1" applyBorder="1" applyProtection="1"/>
    <xf numFmtId="0" fontId="2" fillId="5" borderId="1" xfId="0" applyFont="1" applyFill="1" applyBorder="1" applyAlignment="1" applyProtection="1">
      <alignment horizontal="right"/>
    </xf>
    <xf numFmtId="0" fontId="2" fillId="8" borderId="1" xfId="0" applyFont="1" applyFill="1" applyBorder="1" applyAlignment="1" applyProtection="1">
      <alignment horizontal="right"/>
    </xf>
    <xf numFmtId="0" fontId="1" fillId="0" borderId="0" xfId="0" applyFont="1" applyAlignment="1">
      <alignment horizontal="right"/>
    </xf>
    <xf numFmtId="0" fontId="1" fillId="0" borderId="0" xfId="0" applyFont="1" applyAlignment="1">
      <alignment horizontal="left"/>
    </xf>
    <xf numFmtId="0" fontId="1" fillId="0" borderId="0" xfId="0" applyFont="1" applyBorder="1" applyAlignment="1">
      <alignment horizontal="left"/>
    </xf>
    <xf numFmtId="0" fontId="1" fillId="0" borderId="0" xfId="0" applyFont="1" applyBorder="1" applyAlignment="1">
      <alignment horizontal="right"/>
    </xf>
    <xf numFmtId="0" fontId="1" fillId="0" borderId="0" xfId="0" applyFont="1" applyFill="1"/>
    <xf numFmtId="1" fontId="0" fillId="0" borderId="0" xfId="0" applyNumberFormat="1" applyBorder="1" applyAlignment="1" applyProtection="1">
      <alignment horizontal="center"/>
    </xf>
    <xf numFmtId="0" fontId="0" fillId="0" borderId="0" xfId="0" applyBorder="1" applyAlignment="1" applyProtection="1">
      <alignment horizontal="center"/>
    </xf>
    <xf numFmtId="0" fontId="1" fillId="5" borderId="1" xfId="0" applyFont="1" applyFill="1" applyBorder="1" applyAlignment="1" applyProtection="1">
      <alignment horizontal="center"/>
    </xf>
    <xf numFmtId="0" fontId="1" fillId="8" borderId="1" xfId="0" applyFont="1" applyFill="1" applyBorder="1" applyAlignment="1" applyProtection="1">
      <alignment horizontal="center"/>
    </xf>
    <xf numFmtId="0" fontId="1" fillId="0" borderId="39" xfId="0" applyFont="1" applyFill="1" applyBorder="1" applyProtection="1"/>
    <xf numFmtId="0" fontId="2" fillId="0" borderId="39" xfId="0" applyFont="1" applyFill="1" applyBorder="1" applyAlignment="1" applyProtection="1">
      <alignment horizontal="right"/>
    </xf>
    <xf numFmtId="0" fontId="1" fillId="0" borderId="39" xfId="0" applyFont="1" applyFill="1" applyBorder="1" applyAlignment="1" applyProtection="1">
      <alignment horizontal="center"/>
    </xf>
    <xf numFmtId="0" fontId="10" fillId="0" borderId="39" xfId="0" applyFont="1" applyFill="1" applyBorder="1" applyAlignment="1" applyProtection="1">
      <alignment horizontal="right"/>
      <protection hidden="1"/>
    </xf>
    <xf numFmtId="0" fontId="10" fillId="0" borderId="39" xfId="0" applyFont="1" applyFill="1" applyBorder="1" applyProtection="1">
      <protection hidden="1"/>
    </xf>
    <xf numFmtId="0" fontId="1" fillId="0" borderId="40" xfId="0" applyFont="1" applyFill="1" applyBorder="1" applyProtection="1"/>
    <xf numFmtId="0" fontId="0" fillId="0" borderId="38" xfId="0" applyBorder="1" applyProtection="1"/>
    <xf numFmtId="0" fontId="3" fillId="0" borderId="36" xfId="0" applyFont="1" applyBorder="1" applyAlignment="1" applyProtection="1">
      <alignment horizontal="center"/>
    </xf>
    <xf numFmtId="0" fontId="2" fillId="6" borderId="3" xfId="0" applyFont="1" applyFill="1" applyBorder="1" applyAlignment="1">
      <alignment horizontal="right"/>
    </xf>
    <xf numFmtId="0" fontId="1" fillId="6" borderId="23" xfId="0" applyFont="1" applyFill="1" applyBorder="1" applyAlignment="1">
      <alignment horizontal="right"/>
    </xf>
    <xf numFmtId="0" fontId="2" fillId="6" borderId="23" xfId="0" applyFont="1" applyFill="1" applyBorder="1" applyAlignment="1">
      <alignment horizontal="right"/>
    </xf>
    <xf numFmtId="0" fontId="1" fillId="6" borderId="11" xfId="0" applyFont="1" applyFill="1" applyBorder="1" applyAlignment="1">
      <alignment horizontal="right"/>
    </xf>
    <xf numFmtId="0" fontId="1" fillId="6" borderId="5" xfId="0" applyFont="1" applyFill="1" applyBorder="1" applyAlignment="1">
      <alignment horizontal="right"/>
    </xf>
    <xf numFmtId="0" fontId="1" fillId="6" borderId="1" xfId="0" applyFont="1" applyFill="1" applyBorder="1" applyAlignment="1">
      <alignment horizontal="right"/>
    </xf>
    <xf numFmtId="0" fontId="1" fillId="6" borderId="13" xfId="0" applyFont="1" applyFill="1" applyBorder="1" applyAlignment="1">
      <alignment horizontal="right"/>
    </xf>
    <xf numFmtId="0" fontId="1" fillId="6" borderId="24" xfId="0" applyFont="1" applyFill="1" applyBorder="1" applyAlignment="1">
      <alignment horizontal="right"/>
    </xf>
    <xf numFmtId="0" fontId="1" fillId="6" borderId="1" xfId="0" applyFont="1" applyFill="1" applyBorder="1" applyAlignment="1">
      <alignment horizontal="left"/>
    </xf>
    <xf numFmtId="0" fontId="1" fillId="6" borderId="24" xfId="0" applyFont="1" applyFill="1" applyBorder="1" applyAlignment="1">
      <alignment horizontal="left"/>
    </xf>
    <xf numFmtId="0" fontId="1" fillId="6" borderId="12" xfId="0" applyFont="1" applyFill="1" applyBorder="1" applyAlignment="1">
      <alignment horizontal="left"/>
    </xf>
    <xf numFmtId="0" fontId="1" fillId="6" borderId="14" xfId="0" applyFont="1" applyFill="1" applyBorder="1" applyAlignment="1">
      <alignment horizontal="left"/>
    </xf>
    <xf numFmtId="0" fontId="0" fillId="0" borderId="37" xfId="0" applyFont="1" applyBorder="1" applyProtection="1"/>
    <xf numFmtId="0" fontId="0" fillId="0" borderId="36" xfId="0" applyFont="1" applyBorder="1" applyProtection="1"/>
    <xf numFmtId="0" fontId="0" fillId="0" borderId="0" xfId="0" applyFont="1" applyBorder="1" applyProtection="1"/>
    <xf numFmtId="0" fontId="5" fillId="0" borderId="0" xfId="0" applyFont="1" applyBorder="1" applyAlignment="1" applyProtection="1">
      <alignment horizontal="center"/>
    </xf>
    <xf numFmtId="0" fontId="1" fillId="0" borderId="0" xfId="0" applyFont="1" applyFill="1" applyBorder="1" applyProtection="1"/>
    <xf numFmtId="0" fontId="3" fillId="0" borderId="37" xfId="0" applyFont="1" applyBorder="1" applyAlignment="1" applyProtection="1"/>
    <xf numFmtId="0" fontId="10" fillId="6" borderId="1" xfId="0" applyFont="1" applyFill="1" applyBorder="1" applyAlignment="1">
      <alignment horizontal="left"/>
    </xf>
    <xf numFmtId="0" fontId="10" fillId="6" borderId="24" xfId="0" applyFont="1" applyFill="1" applyBorder="1" applyAlignment="1">
      <alignment horizontal="left"/>
    </xf>
    <xf numFmtId="0" fontId="10" fillId="6" borderId="1" xfId="0" quotePrefix="1" applyFont="1" applyFill="1" applyBorder="1" applyAlignment="1">
      <alignment horizontal="left"/>
    </xf>
    <xf numFmtId="0" fontId="1" fillId="0" borderId="0" xfId="0" quotePrefix="1" applyFont="1" applyBorder="1" applyAlignment="1">
      <alignment horizontal="left"/>
    </xf>
    <xf numFmtId="0" fontId="10" fillId="6" borderId="24" xfId="0" quotePrefix="1" applyFont="1" applyFill="1" applyBorder="1" applyAlignment="1">
      <alignment horizontal="left"/>
    </xf>
    <xf numFmtId="0" fontId="0" fillId="0" borderId="0" xfId="0" applyFont="1" applyProtection="1">
      <protection hidden="1"/>
    </xf>
    <xf numFmtId="0" fontId="0" fillId="0" borderId="0" xfId="0" applyFont="1" applyBorder="1" applyProtection="1">
      <protection hidden="1"/>
    </xf>
    <xf numFmtId="164" fontId="1" fillId="0" borderId="0" xfId="0" applyNumberFormat="1" applyFont="1" applyBorder="1" applyProtection="1"/>
    <xf numFmtId="164" fontId="0" fillId="0" borderId="0" xfId="0" applyNumberFormat="1" applyFont="1" applyProtection="1">
      <protection hidden="1"/>
    </xf>
    <xf numFmtId="164" fontId="0" fillId="0" borderId="0" xfId="0" applyNumberFormat="1" applyFont="1" applyBorder="1" applyProtection="1">
      <protection hidden="1"/>
    </xf>
    <xf numFmtId="164" fontId="5" fillId="0" borderId="0" xfId="0" applyNumberFormat="1" applyFont="1" applyBorder="1" applyAlignment="1" applyProtection="1">
      <alignment horizontal="center"/>
    </xf>
    <xf numFmtId="164" fontId="1" fillId="0" borderId="0" xfId="0" applyNumberFormat="1" applyFont="1" applyFill="1" applyBorder="1" applyProtection="1"/>
    <xf numFmtId="164" fontId="1" fillId="0" borderId="0" xfId="0" applyNumberFormat="1" applyFont="1" applyFill="1" applyBorder="1" applyAlignment="1" applyProtection="1">
      <alignment horizontal="right"/>
      <protection hidden="1"/>
    </xf>
    <xf numFmtId="0" fontId="0" fillId="0" borderId="0" xfId="0" applyFill="1" applyBorder="1" applyProtection="1"/>
    <xf numFmtId="164" fontId="0" fillId="0" borderId="0" xfId="0" applyNumberFormat="1" applyFill="1" applyBorder="1" applyProtection="1"/>
    <xf numFmtId="164" fontId="1" fillId="0" borderId="0" xfId="0" applyNumberFormat="1" applyFont="1" applyFill="1" applyBorder="1" applyProtection="1">
      <protection hidden="1"/>
    </xf>
    <xf numFmtId="0" fontId="2" fillId="11" borderId="1" xfId="0" applyFont="1" applyFill="1" applyBorder="1" applyAlignment="1" applyProtection="1">
      <alignment horizontal="center" wrapText="1"/>
    </xf>
    <xf numFmtId="0" fontId="2" fillId="11" borderId="1" xfId="0" applyFont="1" applyFill="1" applyBorder="1" applyAlignment="1" applyProtection="1">
      <alignment horizontal="center"/>
    </xf>
    <xf numFmtId="164" fontId="9" fillId="0" borderId="0" xfId="0" applyNumberFormat="1" applyFont="1" applyFill="1" applyBorder="1" applyAlignment="1" applyProtection="1">
      <alignment horizontal="center"/>
    </xf>
    <xf numFmtId="164" fontId="10" fillId="0" borderId="0" xfId="0" applyNumberFormat="1" applyFont="1" applyFill="1" applyBorder="1" applyProtection="1"/>
    <xf numFmtId="0" fontId="1" fillId="0" borderId="37" xfId="0" applyFont="1" applyFill="1" applyBorder="1" applyProtection="1"/>
    <xf numFmtId="164" fontId="10" fillId="0" borderId="0" xfId="0" applyNumberFormat="1" applyFont="1" applyFill="1" applyBorder="1" applyAlignment="1" applyProtection="1">
      <alignment horizontal="right"/>
      <protection hidden="1"/>
    </xf>
    <xf numFmtId="164" fontId="10" fillId="0" borderId="0" xfId="0" applyNumberFormat="1" applyFont="1" applyFill="1" applyBorder="1" applyProtection="1">
      <protection hidden="1"/>
    </xf>
    <xf numFmtId="0" fontId="2" fillId="11" borderId="44" xfId="0" applyFont="1" applyFill="1" applyBorder="1" applyAlignment="1" applyProtection="1">
      <alignment horizontal="center" wrapText="1"/>
    </xf>
    <xf numFmtId="0" fontId="1" fillId="5" borderId="44" xfId="0" applyFont="1" applyFill="1" applyBorder="1" applyProtection="1"/>
    <xf numFmtId="0" fontId="1" fillId="8" borderId="44" xfId="0" applyFont="1" applyFill="1" applyBorder="1" applyProtection="1"/>
    <xf numFmtId="164" fontId="3" fillId="0" borderId="0" xfId="0" applyNumberFormat="1" applyFont="1" applyBorder="1" applyAlignment="1" applyProtection="1">
      <protection hidden="1"/>
    </xf>
    <xf numFmtId="164" fontId="1" fillId="0" borderId="0" xfId="0" applyNumberFormat="1" applyFont="1" applyBorder="1" applyAlignment="1" applyProtection="1">
      <alignment horizontal="right"/>
      <protection hidden="1"/>
    </xf>
    <xf numFmtId="0" fontId="0" fillId="0" borderId="33" xfId="0" applyBorder="1" applyProtection="1"/>
    <xf numFmtId="0" fontId="1" fillId="0" borderId="39" xfId="0" applyFont="1" applyFill="1" applyBorder="1" applyAlignment="1" applyProtection="1">
      <alignment horizontal="right"/>
    </xf>
    <xf numFmtId="0" fontId="0" fillId="0" borderId="45" xfId="0" applyBorder="1" applyProtection="1"/>
    <xf numFmtId="0" fontId="1" fillId="6" borderId="1" xfId="0" quotePrefix="1" applyFont="1" applyFill="1" applyBorder="1" applyAlignment="1">
      <alignment horizontal="left"/>
    </xf>
    <xf numFmtId="164" fontId="3" fillId="0" borderId="0" xfId="0" applyNumberFormat="1" applyFont="1" applyFill="1" applyBorder="1" applyAlignment="1" applyProtection="1">
      <alignment horizontal="center"/>
    </xf>
    <xf numFmtId="164" fontId="1" fillId="0" borderId="0" xfId="0" applyNumberFormat="1" applyFont="1" applyFill="1" applyBorder="1" applyAlignment="1" applyProtection="1">
      <alignment horizontal="right"/>
    </xf>
    <xf numFmtId="164" fontId="0" fillId="0" borderId="0" xfId="0" applyNumberFormat="1" applyFont="1" applyFill="1" applyBorder="1" applyProtection="1"/>
    <xf numFmtId="164" fontId="3" fillId="0" borderId="0" xfId="0" applyNumberFormat="1" applyFont="1" applyFill="1" applyBorder="1" applyAlignment="1" applyProtection="1">
      <protection hidden="1"/>
    </xf>
    <xf numFmtId="164" fontId="0" fillId="0" borderId="0" xfId="0" applyNumberFormat="1" applyFont="1" applyFill="1" applyBorder="1" applyProtection="1">
      <protection hidden="1"/>
    </xf>
    <xf numFmtId="0" fontId="1" fillId="5" borderId="1" xfId="0" applyNumberFormat="1" applyFont="1" applyFill="1" applyBorder="1" applyAlignment="1" applyProtection="1">
      <alignment horizontal="right"/>
      <protection locked="0"/>
    </xf>
    <xf numFmtId="0" fontId="1" fillId="8" borderId="1" xfId="0" applyNumberFormat="1" applyFont="1" applyFill="1" applyBorder="1" applyAlignment="1" applyProtection="1">
      <alignment horizontal="right"/>
      <protection locked="0"/>
    </xf>
    <xf numFmtId="0" fontId="2" fillId="4" borderId="3" xfId="0" applyFont="1" applyFill="1" applyBorder="1" applyProtection="1"/>
    <xf numFmtId="0" fontId="2" fillId="4" borderId="11" xfId="0" applyFont="1" applyFill="1" applyBorder="1" applyProtection="1"/>
    <xf numFmtId="0" fontId="2" fillId="10" borderId="3" xfId="0" applyFont="1" applyFill="1" applyBorder="1" applyProtection="1"/>
    <xf numFmtId="0" fontId="2" fillId="10" borderId="25" xfId="0" applyFont="1" applyFill="1" applyBorder="1" applyProtection="1"/>
    <xf numFmtId="0" fontId="2" fillId="4" borderId="25" xfId="0" applyFont="1" applyFill="1" applyBorder="1" applyProtection="1"/>
    <xf numFmtId="0" fontId="2" fillId="10" borderId="11" xfId="0" applyFont="1" applyFill="1" applyBorder="1" applyProtection="1"/>
    <xf numFmtId="0" fontId="1" fillId="3" borderId="5" xfId="0" applyFont="1" applyFill="1" applyBorder="1" applyProtection="1"/>
    <xf numFmtId="0" fontId="1" fillId="3" borderId="12" xfId="0" applyFont="1" applyFill="1" applyBorder="1" applyProtection="1"/>
    <xf numFmtId="0" fontId="1" fillId="6" borderId="5" xfId="0" applyFont="1" applyFill="1" applyBorder="1" applyProtection="1"/>
    <xf numFmtId="0" fontId="1" fillId="6" borderId="2" xfId="0" applyFont="1" applyFill="1" applyBorder="1" applyProtection="1"/>
    <xf numFmtId="0" fontId="1" fillId="3" borderId="2" xfId="0" applyFont="1" applyFill="1" applyBorder="1" applyProtection="1"/>
    <xf numFmtId="0" fontId="1" fillId="6" borderId="12" xfId="0" applyFont="1" applyFill="1" applyBorder="1" applyProtection="1"/>
    <xf numFmtId="0" fontId="1" fillId="3" borderId="13" xfId="0" applyFont="1" applyFill="1" applyBorder="1" applyProtection="1"/>
    <xf numFmtId="0" fontId="1" fillId="3" borderId="14" xfId="0" applyFont="1" applyFill="1" applyBorder="1" applyProtection="1"/>
    <xf numFmtId="0" fontId="1" fillId="6" borderId="13" xfId="0" applyFont="1" applyFill="1" applyBorder="1" applyProtection="1"/>
    <xf numFmtId="0" fontId="1" fillId="6" borderId="26" xfId="0" applyFont="1" applyFill="1" applyBorder="1" applyProtection="1"/>
    <xf numFmtId="0" fontId="1" fillId="3" borderId="26" xfId="0" applyFont="1" applyFill="1" applyBorder="1" applyProtection="1"/>
    <xf numFmtId="0" fontId="1" fillId="6" borderId="14" xfId="0" applyFont="1" applyFill="1" applyBorder="1" applyProtection="1"/>
    <xf numFmtId="0" fontId="2" fillId="5" borderId="3" xfId="0" applyFont="1" applyFill="1" applyBorder="1" applyProtection="1"/>
    <xf numFmtId="0" fontId="2" fillId="5" borderId="23" xfId="0" applyFont="1" applyFill="1" applyBorder="1" applyProtection="1"/>
    <xf numFmtId="0" fontId="2" fillId="5" borderId="11" xfId="0" applyFont="1" applyFill="1" applyBorder="1" applyProtection="1"/>
    <xf numFmtId="0" fontId="1" fillId="0" borderId="0" xfId="0" applyFont="1" applyFill="1" applyProtection="1"/>
    <xf numFmtId="0" fontId="1" fillId="0" borderId="0" xfId="0" applyNumberFormat="1" applyFont="1" applyFill="1" applyBorder="1" applyProtection="1"/>
    <xf numFmtId="0" fontId="1" fillId="2" borderId="5" xfId="0" applyFont="1" applyFill="1" applyBorder="1" applyProtection="1"/>
    <xf numFmtId="0" fontId="1" fillId="2" borderId="12" xfId="0" applyFont="1" applyFill="1" applyBorder="1" applyProtection="1"/>
    <xf numFmtId="0" fontId="1" fillId="5" borderId="5" xfId="0" applyFont="1" applyFill="1" applyBorder="1" applyProtection="1">
      <protection locked="0"/>
    </xf>
    <xf numFmtId="8" fontId="1" fillId="5" borderId="1" xfId="0" applyNumberFormat="1" applyFont="1" applyFill="1" applyBorder="1" applyProtection="1">
      <protection locked="0"/>
    </xf>
    <xf numFmtId="0" fontId="1" fillId="5" borderId="12" xfId="0" applyFont="1" applyFill="1" applyBorder="1" applyProtection="1">
      <protection locked="0"/>
    </xf>
    <xf numFmtId="0" fontId="1" fillId="5" borderId="13" xfId="0" applyFont="1" applyFill="1" applyBorder="1" applyProtection="1">
      <protection locked="0"/>
    </xf>
    <xf numFmtId="0" fontId="1" fillId="5" borderId="24" xfId="0" applyFont="1" applyFill="1" applyBorder="1" applyProtection="1">
      <protection locked="0"/>
    </xf>
    <xf numFmtId="0" fontId="1" fillId="5" borderId="14" xfId="0" applyFont="1" applyFill="1" applyBorder="1" applyProtection="1">
      <protection locked="0"/>
    </xf>
    <xf numFmtId="0" fontId="2" fillId="0" borderId="31" xfId="0" applyFont="1" applyBorder="1" applyProtection="1"/>
    <xf numFmtId="0" fontId="2" fillId="0" borderId="3" xfId="0" applyFont="1" applyBorder="1" applyProtection="1"/>
    <xf numFmtId="0" fontId="2" fillId="0" borderId="5" xfId="0" applyFont="1" applyBorder="1" applyProtection="1"/>
    <xf numFmtId="0" fontId="2" fillId="0" borderId="13" xfId="0" applyFont="1" applyBorder="1" applyProtection="1"/>
    <xf numFmtId="0" fontId="5" fillId="0" borderId="34" xfId="0" applyFont="1" applyBorder="1" applyAlignment="1" applyProtection="1"/>
    <xf numFmtId="0" fontId="5" fillId="0" borderId="35" xfId="0" applyFont="1" applyBorder="1" applyAlignment="1" applyProtection="1"/>
    <xf numFmtId="0" fontId="0" fillId="0" borderId="0" xfId="0" applyAlignment="1">
      <alignment horizontal="right"/>
    </xf>
    <xf numFmtId="0" fontId="0" fillId="0" borderId="0" xfId="0" applyBorder="1"/>
    <xf numFmtId="0" fontId="0" fillId="0" borderId="13" xfId="0" applyBorder="1" applyAlignment="1">
      <alignment horizontal="right"/>
    </xf>
    <xf numFmtId="0" fontId="0" fillId="0" borderId="14" xfId="0" applyBorder="1" applyAlignment="1">
      <alignment horizontal="center"/>
    </xf>
    <xf numFmtId="0" fontId="0" fillId="0" borderId="5" xfId="0" applyBorder="1" applyAlignment="1" applyProtection="1">
      <alignment horizontal="right"/>
    </xf>
    <xf numFmtId="0" fontId="0" fillId="0" borderId="5" xfId="0" applyBorder="1" applyAlignment="1">
      <alignment horizontal="right"/>
    </xf>
    <xf numFmtId="0" fontId="0" fillId="10" borderId="5" xfId="0" applyFill="1" applyBorder="1" applyAlignment="1" applyProtection="1">
      <alignment horizontal="right"/>
    </xf>
    <xf numFmtId="0" fontId="17" fillId="13" borderId="23" xfId="0" applyFont="1" applyFill="1" applyBorder="1" applyAlignment="1" applyProtection="1"/>
    <xf numFmtId="0" fontId="17" fillId="13" borderId="11" xfId="0" applyFont="1" applyFill="1" applyBorder="1" applyAlignment="1" applyProtection="1">
      <alignment horizontal="center"/>
    </xf>
    <xf numFmtId="0" fontId="0" fillId="0" borderId="12" xfId="0" applyBorder="1" applyAlignment="1">
      <alignment horizontal="center"/>
    </xf>
    <xf numFmtId="0" fontId="0" fillId="10" borderId="12" xfId="0" applyFill="1" applyBorder="1" applyAlignment="1">
      <alignment horizontal="center"/>
    </xf>
    <xf numFmtId="0" fontId="2" fillId="9" borderId="47" xfId="0" applyFont="1" applyFill="1" applyBorder="1" applyProtection="1"/>
    <xf numFmtId="0" fontId="2" fillId="9" borderId="48" xfId="0" applyFont="1" applyFill="1" applyBorder="1" applyProtection="1"/>
    <xf numFmtId="0" fontId="1" fillId="2" borderId="3" xfId="0" applyFont="1" applyFill="1" applyBorder="1" applyProtection="1"/>
    <xf numFmtId="0" fontId="1" fillId="2" borderId="11" xfId="0" applyFont="1" applyFill="1" applyBorder="1" applyProtection="1"/>
    <xf numFmtId="0" fontId="1" fillId="0" borderId="5" xfId="0" applyFont="1" applyFill="1" applyBorder="1" applyProtection="1"/>
    <xf numFmtId="0" fontId="1" fillId="0" borderId="12" xfId="0" applyFont="1" applyBorder="1" applyProtection="1"/>
    <xf numFmtId="0" fontId="1" fillId="0" borderId="13" xfId="0" applyFont="1" applyFill="1" applyBorder="1" applyProtection="1"/>
    <xf numFmtId="0" fontId="1" fillId="0" borderId="14" xfId="0" applyFont="1" applyBorder="1" applyProtection="1"/>
    <xf numFmtId="164" fontId="18" fillId="0" borderId="0" xfId="0" applyNumberFormat="1" applyFont="1" applyFill="1" applyBorder="1" applyAlignment="1" applyProtection="1">
      <alignment horizontal="left"/>
      <protection hidden="1"/>
    </xf>
    <xf numFmtId="0" fontId="16" fillId="12" borderId="46" xfId="1" applyAlignment="1" applyProtection="1">
      <alignment horizontal="center"/>
      <protection locked="0"/>
    </xf>
    <xf numFmtId="0" fontId="2" fillId="3" borderId="3" xfId="0" applyFont="1" applyFill="1" applyBorder="1" applyAlignment="1" applyProtection="1">
      <alignment horizontal="right"/>
    </xf>
    <xf numFmtId="1" fontId="16" fillId="12" borderId="53" xfId="1" applyNumberFormat="1" applyBorder="1" applyAlignment="1" applyProtection="1">
      <alignment horizontal="center"/>
      <protection locked="0"/>
    </xf>
    <xf numFmtId="0" fontId="2" fillId="3" borderId="5" xfId="0" applyFont="1" applyFill="1" applyBorder="1" applyAlignment="1" applyProtection="1">
      <alignment horizontal="right"/>
    </xf>
    <xf numFmtId="1" fontId="16" fillId="12" borderId="46" xfId="1" applyNumberFormat="1" applyBorder="1" applyAlignment="1" applyProtection="1">
      <alignment horizontal="center"/>
      <protection locked="0"/>
    </xf>
    <xf numFmtId="0" fontId="2" fillId="4" borderId="5" xfId="0" applyFont="1" applyFill="1" applyBorder="1" applyAlignment="1" applyProtection="1">
      <alignment horizontal="right"/>
    </xf>
    <xf numFmtId="0" fontId="2" fillId="4" borderId="7" xfId="0" applyFont="1" applyFill="1" applyBorder="1" applyAlignment="1" applyProtection="1">
      <alignment horizontal="right"/>
    </xf>
    <xf numFmtId="0" fontId="2" fillId="3" borderId="9" xfId="0" applyFont="1" applyFill="1" applyBorder="1" applyAlignment="1" applyProtection="1">
      <alignment horizontal="right"/>
    </xf>
    <xf numFmtId="1" fontId="16" fillId="12" borderId="54" xfId="1" applyNumberFormat="1" applyBorder="1" applyAlignment="1" applyProtection="1">
      <alignment horizontal="center"/>
      <protection locked="0"/>
    </xf>
    <xf numFmtId="0" fontId="16" fillId="12" borderId="55" xfId="1" applyBorder="1" applyAlignment="1" applyProtection="1">
      <alignment horizontal="center"/>
      <protection locked="0"/>
    </xf>
    <xf numFmtId="0" fontId="16" fillId="12" borderId="56" xfId="1" applyBorder="1" applyAlignment="1" applyProtection="1">
      <alignment horizontal="center"/>
      <protection locked="0"/>
    </xf>
    <xf numFmtId="0" fontId="16" fillId="12" borderId="1" xfId="1" applyBorder="1" applyAlignment="1" applyProtection="1">
      <alignment horizontal="right"/>
      <protection locked="0"/>
    </xf>
    <xf numFmtId="0" fontId="17" fillId="0" borderId="0" xfId="0" applyFont="1" applyBorder="1" applyAlignment="1" applyProtection="1"/>
    <xf numFmtId="0" fontId="1" fillId="0" borderId="0" xfId="0" applyFont="1" applyAlignment="1"/>
    <xf numFmtId="0" fontId="1" fillId="0" borderId="0" xfId="0" applyFont="1" applyFill="1" applyBorder="1" applyAlignment="1"/>
    <xf numFmtId="0" fontId="1" fillId="0" borderId="0" xfId="0" applyFont="1" applyBorder="1" applyAlignment="1"/>
    <xf numFmtId="0" fontId="7" fillId="7" borderId="41" xfId="0" applyFont="1" applyFill="1" applyBorder="1" applyAlignment="1" applyProtection="1">
      <alignment horizontal="center" vertical="center"/>
    </xf>
    <xf numFmtId="0" fontId="7" fillId="7" borderId="42" xfId="0" applyFont="1" applyFill="1" applyBorder="1" applyAlignment="1" applyProtection="1">
      <alignment horizontal="center" vertical="center"/>
    </xf>
    <xf numFmtId="0" fontId="7" fillId="7" borderId="43" xfId="0" applyFont="1" applyFill="1" applyBorder="1" applyAlignment="1" applyProtection="1">
      <alignment horizontal="center" vertical="center"/>
    </xf>
    <xf numFmtId="0" fontId="7" fillId="7" borderId="21" xfId="0" applyFont="1" applyFill="1" applyBorder="1" applyAlignment="1" applyProtection="1">
      <alignment horizontal="center" vertical="center"/>
    </xf>
    <xf numFmtId="0" fontId="7" fillId="7" borderId="22" xfId="0" applyFont="1" applyFill="1" applyBorder="1" applyAlignment="1" applyProtection="1">
      <alignment horizontal="center" vertical="center"/>
    </xf>
    <xf numFmtId="0" fontId="7" fillId="7" borderId="10" xfId="0" applyFont="1" applyFill="1" applyBorder="1" applyAlignment="1" applyProtection="1">
      <alignment horizontal="center" vertical="center"/>
    </xf>
    <xf numFmtId="0" fontId="15" fillId="0" borderId="0" xfId="0" applyFont="1" applyBorder="1" applyAlignment="1">
      <alignment horizontal="center"/>
    </xf>
    <xf numFmtId="0" fontId="1" fillId="0" borderId="0" xfId="0" applyFont="1" applyAlignment="1">
      <alignment horizontal="right"/>
    </xf>
    <xf numFmtId="0" fontId="1" fillId="0" borderId="15" xfId="0" applyFont="1" applyBorder="1" applyAlignment="1">
      <alignment horizontal="center"/>
    </xf>
    <xf numFmtId="0" fontId="1" fillId="0" borderId="6" xfId="0" applyFont="1" applyBorder="1" applyAlignment="1">
      <alignment horizontal="center"/>
    </xf>
    <xf numFmtId="0" fontId="5" fillId="0" borderId="36" xfId="0" applyFont="1" applyBorder="1" applyAlignment="1" applyProtection="1">
      <alignment horizontal="center"/>
    </xf>
    <xf numFmtId="0" fontId="5" fillId="0" borderId="0" xfId="0" applyFont="1" applyBorder="1" applyAlignment="1" applyProtection="1">
      <alignment horizontal="center"/>
    </xf>
    <xf numFmtId="0" fontId="5" fillId="0" borderId="30" xfId="0" applyFont="1" applyBorder="1" applyAlignment="1" applyProtection="1">
      <alignment horizontal="center"/>
    </xf>
    <xf numFmtId="0" fontId="5" fillId="0" borderId="33" xfId="0" applyFont="1" applyBorder="1" applyAlignment="1" applyProtection="1">
      <alignment horizontal="center"/>
    </xf>
    <xf numFmtId="0" fontId="5" fillId="0" borderId="34" xfId="0" applyFont="1" applyBorder="1" applyAlignment="1" applyProtection="1">
      <alignment horizontal="center"/>
    </xf>
    <xf numFmtId="0" fontId="5" fillId="0" borderId="35" xfId="0" applyFont="1" applyBorder="1" applyAlignment="1" applyProtection="1">
      <alignment horizontal="center"/>
    </xf>
    <xf numFmtId="0" fontId="16" fillId="12" borderId="50" xfId="1" applyBorder="1" applyAlignment="1" applyProtection="1">
      <alignment horizontal="center"/>
      <protection locked="0"/>
    </xf>
    <xf numFmtId="0" fontId="16" fillId="12" borderId="51" xfId="1" applyBorder="1" applyAlignment="1" applyProtection="1">
      <alignment horizontal="center"/>
      <protection locked="0"/>
    </xf>
    <xf numFmtId="0" fontId="16" fillId="12" borderId="52" xfId="1" applyBorder="1" applyAlignment="1" applyProtection="1">
      <alignment horizontal="center"/>
      <protection locked="0"/>
    </xf>
    <xf numFmtId="0" fontId="0" fillId="0" borderId="1" xfId="0" applyBorder="1" applyAlignment="1" applyProtection="1">
      <alignment horizontal="center"/>
    </xf>
    <xf numFmtId="0" fontId="0" fillId="0" borderId="12" xfId="0" applyBorder="1" applyAlignment="1" applyProtection="1">
      <alignment horizontal="center"/>
    </xf>
    <xf numFmtId="0" fontId="0" fillId="0" borderId="24" xfId="0" applyBorder="1" applyAlignment="1" applyProtection="1">
      <alignment horizontal="center"/>
    </xf>
    <xf numFmtId="0" fontId="0" fillId="0" borderId="14" xfId="0" applyBorder="1" applyAlignment="1" applyProtection="1">
      <alignment horizontal="center"/>
    </xf>
    <xf numFmtId="0" fontId="0" fillId="0" borderId="0" xfId="0"/>
    <xf numFmtId="0" fontId="0" fillId="0" borderId="0" xfId="0" applyAlignment="1">
      <alignment horizontal="center" wrapText="1"/>
    </xf>
    <xf numFmtId="164" fontId="1" fillId="0" borderId="0" xfId="0" applyNumberFormat="1" applyFont="1" applyFill="1" applyBorder="1" applyAlignment="1" applyProtection="1"/>
    <xf numFmtId="164" fontId="1" fillId="0" borderId="0" xfId="0" applyNumberFormat="1" applyFont="1" applyFill="1" applyBorder="1" applyAlignment="1" applyProtection="1">
      <protection hidden="1"/>
    </xf>
    <xf numFmtId="164" fontId="3" fillId="0" borderId="0" xfId="0" applyNumberFormat="1" applyFont="1" applyFill="1" applyBorder="1" applyAlignment="1" applyProtection="1">
      <alignment horizontal="center"/>
    </xf>
    <xf numFmtId="164" fontId="1" fillId="0" borderId="0" xfId="0" applyNumberFormat="1" applyFont="1" applyBorder="1" applyAlignment="1" applyProtection="1">
      <protection hidden="1"/>
    </xf>
    <xf numFmtId="0" fontId="0" fillId="0" borderId="49" xfId="0" applyBorder="1" applyProtection="1"/>
    <xf numFmtId="0" fontId="0" fillId="0" borderId="24" xfId="0" applyBorder="1" applyProtection="1"/>
    <xf numFmtId="0" fontId="16" fillId="12" borderId="44" xfId="1" applyBorder="1" applyAlignment="1" applyProtection="1"/>
    <xf numFmtId="0" fontId="0" fillId="10" borderId="44" xfId="0" applyFill="1" applyBorder="1" applyProtection="1"/>
    <xf numFmtId="0" fontId="16" fillId="12" borderId="44" xfId="1" applyBorder="1" applyAlignment="1"/>
    <xf numFmtId="0" fontId="16" fillId="12" borderId="57" xfId="1" applyBorder="1" applyAlignment="1"/>
    <xf numFmtId="0" fontId="5" fillId="13" borderId="47" xfId="0" applyFont="1" applyFill="1" applyBorder="1" applyAlignment="1" applyProtection="1"/>
    <xf numFmtId="0" fontId="0" fillId="0" borderId="58" xfId="0" applyBorder="1" applyProtection="1"/>
  </cellXfs>
  <cellStyles count="2">
    <cellStyle name="Input" xfId="1" builtinId="20"/>
    <cellStyle name="Normal" xfId="0" builtinId="0"/>
  </cellStyles>
  <dxfs count="0"/>
  <tableStyles count="0" defaultTableStyle="TableStyleMedium9" defaultPivotStyle="PivotStyleLight16"/>
  <colors>
    <mruColors>
      <color rgb="FFD5E7C3"/>
      <color rgb="FFEAF3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11</xdr:col>
      <xdr:colOff>666750</xdr:colOff>
      <xdr:row>0</xdr:row>
      <xdr:rowOff>164646</xdr:rowOff>
    </xdr:from>
    <xdr:to>
      <xdr:col>18</xdr:col>
      <xdr:colOff>401411</xdr:colOff>
      <xdr:row>6</xdr:row>
      <xdr:rowOff>14968</xdr:rowOff>
    </xdr:to>
    <xdr:sp macro="" textlink="">
      <xdr:nvSpPr>
        <xdr:cNvPr id="2" name="TextBox 1"/>
        <xdr:cNvSpPr txBox="1"/>
      </xdr:nvSpPr>
      <xdr:spPr>
        <a:xfrm>
          <a:off x="10980964" y="164646"/>
          <a:ext cx="6116411" cy="131989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This</a:t>
          </a:r>
          <a:r>
            <a:rPr lang="en-GB" sz="1100" baseline="0"/>
            <a:t> page is full of references for the main Character Builder. </a:t>
          </a:r>
        </a:p>
        <a:p>
          <a:endParaRPr lang="en-GB" sz="1100" baseline="0"/>
        </a:p>
        <a:p>
          <a:r>
            <a:rPr lang="en-GB" sz="1100" baseline="0"/>
            <a:t>You can add or remove items from the Skill Speciality lists. Then, select the skill header and press Ctrl + Shft + E. This will update the SkillsList reference. Then on the main Character Builder page, any time you add a speciality, you will be able to choose from a drop down list containing these skills. </a:t>
          </a:r>
          <a:endParaRPr lang="en-GB"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1276349</xdr:colOff>
      <xdr:row>0</xdr:row>
      <xdr:rowOff>133350</xdr:rowOff>
    </xdr:from>
    <xdr:to>
      <xdr:col>2</xdr:col>
      <xdr:colOff>3600449</xdr:colOff>
      <xdr:row>6</xdr:row>
      <xdr:rowOff>104776</xdr:rowOff>
    </xdr:to>
    <xdr:sp macro="" textlink="">
      <xdr:nvSpPr>
        <xdr:cNvPr id="2" name="TextBox 1"/>
        <xdr:cNvSpPr txBox="1"/>
      </xdr:nvSpPr>
      <xdr:spPr>
        <a:xfrm>
          <a:off x="1276349" y="133350"/>
          <a:ext cx="7248525" cy="11144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100"/>
            <a:t>My</a:t>
          </a:r>
          <a:r>
            <a:rPr lang="en-GB" sz="1100" baseline="0"/>
            <a:t> list of traits - You can add, remove or edit items in these lists. The only rule is to make sure there are no empty rows in each list.</a:t>
          </a:r>
          <a:r>
            <a:rPr lang="en-GB" sz="1100" b="0" i="0" u="none" strike="noStrike">
              <a:solidFill>
                <a:schemeClr val="dk1"/>
              </a:solidFill>
              <a:latin typeface="+mn-lt"/>
              <a:ea typeface="+mn-ea"/>
              <a:cs typeface="+mn-cs"/>
            </a:rPr>
            <a:t> </a:t>
          </a:r>
          <a:r>
            <a:rPr lang="en-GB" sz="1100" b="0" i="0" u="none" strike="noStrike">
              <a:solidFill>
                <a:srgbClr val="FF0000"/>
              </a:solidFill>
              <a:latin typeface="+mn-lt"/>
              <a:ea typeface="+mn-ea"/>
              <a:cs typeface="+mn-cs"/>
            </a:rPr>
            <a:t>As</a:t>
          </a:r>
          <a:r>
            <a:rPr lang="en-GB" sz="1100" b="0" i="0" u="none" strike="noStrike" baseline="0">
              <a:solidFill>
                <a:srgbClr val="FF0000"/>
              </a:solidFill>
              <a:latin typeface="+mn-lt"/>
              <a:ea typeface="+mn-ea"/>
              <a:cs typeface="+mn-cs"/>
            </a:rPr>
            <a:t> these lists can be of any length, I wrote the code to check for empty cells below when compiling the lists.</a:t>
          </a:r>
          <a:endParaRPr lang="en-GB" sz="1100" b="0" i="0" u="none" strike="noStrike">
            <a:solidFill>
              <a:schemeClr val="dk1"/>
            </a:solidFill>
            <a:latin typeface="+mn-lt"/>
            <a:ea typeface="+mn-ea"/>
            <a:cs typeface="+mn-cs"/>
          </a:endParaRPr>
        </a:p>
        <a:p>
          <a:endParaRPr lang="en-GB" sz="1100" b="0" i="0" u="none" strike="noStrike">
            <a:solidFill>
              <a:schemeClr val="dk1"/>
            </a:solidFill>
            <a:latin typeface="+mn-lt"/>
            <a:ea typeface="+mn-ea"/>
            <a:cs typeface="+mn-cs"/>
          </a:endParaRPr>
        </a:p>
        <a:p>
          <a:r>
            <a:rPr lang="en-GB" sz="1100" b="0" i="0" u="none" strike="noStrike">
              <a:solidFill>
                <a:schemeClr val="dk1"/>
              </a:solidFill>
              <a:latin typeface="+mn-lt"/>
              <a:ea typeface="+mn-ea"/>
              <a:cs typeface="+mn-cs"/>
            </a:rPr>
            <a:t>When</a:t>
          </a:r>
          <a:r>
            <a:rPr lang="en-GB" sz="1100" b="0" i="0" u="none" strike="noStrike" baseline="0">
              <a:solidFill>
                <a:schemeClr val="dk1"/>
              </a:solidFill>
              <a:latin typeface="+mn-lt"/>
              <a:ea typeface="+mn-ea"/>
              <a:cs typeface="+mn-cs"/>
            </a:rPr>
            <a:t> you click the appropriate Update button, the traits list, along with any descriptions written in the minor/major/quirk columns, is transferred to the Traits section of the Character Builder. </a:t>
          </a:r>
        </a:p>
        <a:p>
          <a:endParaRPr lang="en-GB" sz="1100"/>
        </a:p>
      </xdr:txBody>
    </xdr:sp>
    <xdr:clientData/>
  </xdr:twoCellAnchor>
  <mc:AlternateContent xmlns:mc="http://schemas.openxmlformats.org/markup-compatibility/2006">
    <mc:Choice xmlns:a14="http://schemas.microsoft.com/office/drawing/2010/main" Requires="a14">
      <xdr:twoCellAnchor>
        <xdr:from>
          <xdr:col>11</xdr:col>
          <xdr:colOff>266700</xdr:colOff>
          <xdr:row>4</xdr:row>
          <xdr:rowOff>57150</xdr:rowOff>
        </xdr:from>
        <xdr:to>
          <xdr:col>13</xdr:col>
          <xdr:colOff>95250</xdr:colOff>
          <xdr:row>7</xdr:row>
          <xdr:rowOff>95250</xdr:rowOff>
        </xdr:to>
        <xdr:sp macro="" textlink="">
          <xdr:nvSpPr>
            <xdr:cNvPr id="60420" name="Button 4" hidden="1">
              <a:extLst>
                <a:ext uri="{63B3BB69-23CF-44E3-9099-C40C66FF867C}">
                  <a14:compatExt spid="_x0000_s6042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Combat Flaws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76200</xdr:colOff>
          <xdr:row>4</xdr:row>
          <xdr:rowOff>57150</xdr:rowOff>
        </xdr:from>
        <xdr:to>
          <xdr:col>16</xdr:col>
          <xdr:colOff>1400175</xdr:colOff>
          <xdr:row>7</xdr:row>
          <xdr:rowOff>95250</xdr:rowOff>
        </xdr:to>
        <xdr:sp macro="" textlink="">
          <xdr:nvSpPr>
            <xdr:cNvPr id="60421" name="Button 5" hidden="1">
              <a:extLst>
                <a:ext uri="{63B3BB69-23CF-44E3-9099-C40C66FF867C}">
                  <a14:compatExt spid="_x0000_s60421"/>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Supernatural Assets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352425</xdr:colOff>
          <xdr:row>4</xdr:row>
          <xdr:rowOff>38100</xdr:rowOff>
        </xdr:from>
        <xdr:to>
          <xdr:col>21</xdr:col>
          <xdr:colOff>133350</xdr:colOff>
          <xdr:row>7</xdr:row>
          <xdr:rowOff>76200</xdr:rowOff>
        </xdr:to>
        <xdr:sp macro="" textlink="">
          <xdr:nvSpPr>
            <xdr:cNvPr id="60422" name="Button 6" hidden="1">
              <a:extLst>
                <a:ext uri="{63B3BB69-23CF-44E3-9099-C40C66FF867C}">
                  <a14:compatExt spid="_x0000_s60422"/>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Supernatural Flaws</a:t>
              </a:r>
            </a:p>
            <a:p>
              <a:pPr algn="ctr" rtl="0">
                <a:defRPr sz="1000"/>
              </a:pPr>
              <a:endParaRPr lang="en-GB" sz="14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114300</xdr:colOff>
          <xdr:row>4</xdr:row>
          <xdr:rowOff>85725</xdr:rowOff>
        </xdr:from>
        <xdr:to>
          <xdr:col>0</xdr:col>
          <xdr:colOff>1190625</xdr:colOff>
          <xdr:row>7</xdr:row>
          <xdr:rowOff>123825</xdr:rowOff>
        </xdr:to>
        <xdr:sp macro="" textlink="">
          <xdr:nvSpPr>
            <xdr:cNvPr id="60423" name="Button 7" hidden="1">
              <a:extLst>
                <a:ext uri="{63B3BB69-23CF-44E3-9099-C40C66FF867C}">
                  <a14:compatExt spid="_x0000_s604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Mundane Assets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4</xdr:row>
          <xdr:rowOff>95250</xdr:rowOff>
        </xdr:from>
        <xdr:to>
          <xdr:col>4</xdr:col>
          <xdr:colOff>1143000</xdr:colOff>
          <xdr:row>7</xdr:row>
          <xdr:rowOff>133350</xdr:rowOff>
        </xdr:to>
        <xdr:sp macro="" textlink="">
          <xdr:nvSpPr>
            <xdr:cNvPr id="60424" name="Button 8" hidden="1">
              <a:extLst>
                <a:ext uri="{63B3BB69-23CF-44E3-9099-C40C66FF867C}">
                  <a14:compatExt spid="_x0000_s604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Mundane Flaws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352425</xdr:colOff>
          <xdr:row>4</xdr:row>
          <xdr:rowOff>47625</xdr:rowOff>
        </xdr:from>
        <xdr:to>
          <xdr:col>9</xdr:col>
          <xdr:colOff>133350</xdr:colOff>
          <xdr:row>7</xdr:row>
          <xdr:rowOff>85725</xdr:rowOff>
        </xdr:to>
        <xdr:sp macro="" textlink="">
          <xdr:nvSpPr>
            <xdr:cNvPr id="60425" name="Button 9" hidden="1">
              <a:extLst>
                <a:ext uri="{63B3BB69-23CF-44E3-9099-C40C66FF867C}">
                  <a14:compatExt spid="_x0000_s604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400" b="0" i="0" u="none" strike="noStrike" baseline="0">
                  <a:solidFill>
                    <a:srgbClr val="000000"/>
                  </a:solidFill>
                  <a:latin typeface="Calibri"/>
                </a:rPr>
                <a:t>Update Combat Assets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409575</xdr:colOff>
      <xdr:row>8</xdr:row>
      <xdr:rowOff>95250</xdr:rowOff>
    </xdr:from>
    <xdr:to>
      <xdr:col>11</xdr:col>
      <xdr:colOff>28575</xdr:colOff>
      <xdr:row>17</xdr:row>
      <xdr:rowOff>28575</xdr:rowOff>
    </xdr:to>
    <xdr:sp macro="" textlink="">
      <xdr:nvSpPr>
        <xdr:cNvPr id="2" name="TextBox 1"/>
        <xdr:cNvSpPr txBox="1"/>
      </xdr:nvSpPr>
      <xdr:spPr>
        <a:xfrm>
          <a:off x="9210675" y="2324100"/>
          <a:ext cx="6229350" cy="2171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400">
              <a:latin typeface="+mj-lt"/>
              <a:cs typeface="Adobe Arabic" pitchFamily="18" charset="-78"/>
            </a:rPr>
            <a:t> </a:t>
          </a:r>
        </a:p>
        <a:p>
          <a:r>
            <a:rPr lang="en-GB" sz="1400" b="1" u="sng">
              <a:latin typeface="+mj-lt"/>
              <a:cs typeface="Adobe Arabic" pitchFamily="18" charset="-78"/>
            </a:rPr>
            <a:t>Comments:</a:t>
          </a:r>
        </a:p>
        <a:p>
          <a:endParaRPr lang="en-GB" sz="1400">
            <a:latin typeface="+mj-lt"/>
            <a:cs typeface="Adobe Arabic" pitchFamily="18" charset="-78"/>
          </a:endParaRPr>
        </a:p>
        <a:p>
          <a:r>
            <a:rPr lang="en-GB" sz="1400">
              <a:latin typeface="+mj-lt"/>
              <a:cs typeface="Adobe Arabic" pitchFamily="18" charset="-78"/>
            </a:rPr>
            <a:t>- Simply enter your base stats into the table. The cost for each stat and the derives stats will be updated automatically</a:t>
          </a:r>
          <a:r>
            <a:rPr lang="en-GB" sz="1600"/>
            <a:t>.</a:t>
          </a:r>
        </a:p>
      </xdr:txBody>
    </xdr:sp>
    <xdr:clientData/>
  </xdr:twoCellAnchor>
  <xdr:twoCellAnchor>
    <xdr:from>
      <xdr:col>6</xdr:col>
      <xdr:colOff>2613212</xdr:colOff>
      <xdr:row>20</xdr:row>
      <xdr:rowOff>193862</xdr:rowOff>
    </xdr:from>
    <xdr:to>
      <xdr:col>11</xdr:col>
      <xdr:colOff>46504</xdr:colOff>
      <xdr:row>41</xdr:row>
      <xdr:rowOff>16809</xdr:rowOff>
    </xdr:to>
    <xdr:sp macro="" textlink="">
      <xdr:nvSpPr>
        <xdr:cNvPr id="3" name="TextBox 2"/>
        <xdr:cNvSpPr txBox="1"/>
      </xdr:nvSpPr>
      <xdr:spPr>
        <a:xfrm>
          <a:off x="8630771" y="5202891"/>
          <a:ext cx="4224057" cy="510091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GB" sz="1300" b="1" u="sng">
              <a:latin typeface="+mj-lt"/>
              <a:cs typeface="Adobe Arabic" pitchFamily="18" charset="-78"/>
            </a:rPr>
            <a:t>Skills - Instructions</a:t>
          </a:r>
        </a:p>
        <a:p>
          <a:endParaRPr lang="en-GB" sz="1300" b="1" u="sng">
            <a:latin typeface="+mj-lt"/>
            <a:cs typeface="Adobe Arabic" pitchFamily="18" charset="-78"/>
          </a:endParaRPr>
        </a:p>
        <a:p>
          <a:r>
            <a:rPr lang="en-GB" sz="1300" b="0" u="none">
              <a:latin typeface="+mj-lt"/>
              <a:cs typeface="Adobe Arabic" pitchFamily="18" charset="-78"/>
            </a:rPr>
            <a:t>Choose</a:t>
          </a:r>
          <a:r>
            <a:rPr lang="en-GB" sz="1300" b="0" u="none" baseline="0">
              <a:latin typeface="+mj-lt"/>
              <a:cs typeface="Adobe Arabic" pitchFamily="18" charset="-78"/>
            </a:rPr>
            <a:t> the skills you wish your character to have. Any skills left blank will not be shown on your character sheet. </a:t>
          </a:r>
        </a:p>
        <a:p>
          <a:endParaRPr lang="en-GB" sz="1300" b="0" u="none" baseline="0">
            <a:latin typeface="+mj-lt"/>
            <a:cs typeface="Adobe Arabic" pitchFamily="18" charset="-78"/>
          </a:endParaRPr>
        </a:p>
        <a:p>
          <a:r>
            <a:rPr lang="en-GB" sz="1300" b="0" u="none" baseline="0">
              <a:latin typeface="+mj-lt"/>
              <a:cs typeface="Adobe Arabic" pitchFamily="18" charset="-78"/>
            </a:rPr>
            <a:t>You can add as many specialities for each core skill as you wish using the "Add New Speciality" button. If you add too many, simply use the "Remove Speciality" to remove them. You can either choose your speciality from the drop-down menus provided, or type in your own specialty name. </a:t>
          </a:r>
        </a:p>
        <a:p>
          <a:endParaRPr lang="en-GB" sz="1300" b="0" u="none" baseline="0">
            <a:latin typeface="+mj-lt"/>
            <a:cs typeface="Adobe Arabic" pitchFamily="18" charset="-78"/>
          </a:endParaRPr>
        </a:p>
        <a:p>
          <a:r>
            <a:rPr lang="en-GB" sz="1300" b="0" u="none" baseline="0">
              <a:latin typeface="+mj-lt"/>
              <a:cs typeface="Adobe Arabic" pitchFamily="18" charset="-78"/>
            </a:rPr>
            <a:t>Note - any specialities left blank will not be shown on your character sheet, so don't worry about cleaning up any excess blank specialities. </a:t>
          </a:r>
        </a:p>
        <a:p>
          <a:endParaRPr lang="en-GB" sz="1300" b="0" u="none" baseline="0">
            <a:latin typeface="+mj-lt"/>
            <a:cs typeface="Adobe Arabic" pitchFamily="18" charset="-78"/>
          </a:endParaRPr>
        </a:p>
        <a:p>
          <a:r>
            <a:rPr lang="en-GB" sz="1300" b="0" u="none" baseline="0">
              <a:latin typeface="+mj-lt"/>
              <a:cs typeface="Adobe Arabic" pitchFamily="18" charset="-78"/>
            </a:rPr>
            <a:t>Profession and Languages are unusual skills - when choosing them, you must immediately specialise. To get an extra profession or language skill, click "add specialisation" as usual. The points cost will be higher, because you will be effectively gaining a new skill. </a:t>
          </a:r>
        </a:p>
        <a:p>
          <a:endParaRPr lang="en-GB" sz="1300" b="0" u="none" baseline="0">
            <a:latin typeface="+mj-lt"/>
            <a:cs typeface="Adobe Arabic" pitchFamily="18" charset="-78"/>
          </a:endParaRPr>
        </a:p>
        <a:p>
          <a:r>
            <a:rPr lang="en-GB" sz="1300" b="1" u="sng">
              <a:latin typeface="+mj-lt"/>
              <a:cs typeface="Adobe Arabic" pitchFamily="18" charset="-78"/>
            </a:rPr>
            <a:t>Traits</a:t>
          </a:r>
          <a:r>
            <a:rPr lang="en-GB" sz="1300" b="1" u="sng" baseline="0">
              <a:latin typeface="+mj-lt"/>
              <a:cs typeface="Adobe Arabic" pitchFamily="18" charset="-78"/>
            </a:rPr>
            <a:t> - Instructions: </a:t>
          </a:r>
        </a:p>
        <a:p>
          <a:endParaRPr lang="en-GB" sz="1300" b="1" u="none" baseline="0">
            <a:latin typeface="+mj-lt"/>
            <a:cs typeface="Adobe Arabic" pitchFamily="18" charset="-78"/>
          </a:endParaRPr>
        </a:p>
        <a:p>
          <a:r>
            <a:rPr lang="en-GB" sz="1300" b="0" u="none" baseline="0">
              <a:latin typeface="+mj-lt"/>
              <a:cs typeface="Adobe Arabic" pitchFamily="18" charset="-78"/>
            </a:rPr>
            <a:t>There are many possible traits to choose from, and we encourage you to create your own. Therefore, for the purposes of this beta, please just indicate how many traits of each type you are taking. The points cost will be calculated and added to your overall level. </a:t>
          </a:r>
          <a:endParaRPr lang="en-GB" sz="1400" b="1" u="none">
            <a:latin typeface="+mj-lt"/>
            <a:cs typeface="Adobe Arabic" pitchFamily="18" charset="-78"/>
          </a:endParaRPr>
        </a:p>
      </xdr:txBody>
    </xdr:sp>
    <xdr:clientData/>
  </xdr:twoCellAnchor>
  <mc:AlternateContent xmlns:mc="http://schemas.openxmlformats.org/markup-compatibility/2006">
    <mc:Choice xmlns:a14="http://schemas.microsoft.com/office/drawing/2010/main" Requires="a14">
      <xdr:twoCellAnchor>
        <xdr:from>
          <xdr:col>1</xdr:col>
          <xdr:colOff>266700</xdr:colOff>
          <xdr:row>25</xdr:row>
          <xdr:rowOff>38100</xdr:rowOff>
        </xdr:from>
        <xdr:to>
          <xdr:col>1</xdr:col>
          <xdr:colOff>866775</xdr:colOff>
          <xdr:row>25</xdr:row>
          <xdr:rowOff>152400</xdr:rowOff>
        </xdr:to>
        <xdr:sp macro="" textlink="">
          <xdr:nvSpPr>
            <xdr:cNvPr id="27676" name="AddAthletics" hidden="1">
              <a:extLst>
                <a:ext uri="{63B3BB69-23CF-44E3-9099-C40C66FF867C}">
                  <a14:compatExt spid="_x0000_s2767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25</xdr:row>
          <xdr:rowOff>38100</xdr:rowOff>
        </xdr:from>
        <xdr:to>
          <xdr:col>2</xdr:col>
          <xdr:colOff>847725</xdr:colOff>
          <xdr:row>25</xdr:row>
          <xdr:rowOff>142875</xdr:rowOff>
        </xdr:to>
        <xdr:sp macro="" textlink="">
          <xdr:nvSpPr>
            <xdr:cNvPr id="27677" name="DeleteAthletics" hidden="1">
              <a:extLst>
                <a:ext uri="{63B3BB69-23CF-44E3-9099-C40C66FF867C}">
                  <a14:compatExt spid="_x0000_s2767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22</xdr:row>
          <xdr:rowOff>38100</xdr:rowOff>
        </xdr:from>
        <xdr:to>
          <xdr:col>2</xdr:col>
          <xdr:colOff>847725</xdr:colOff>
          <xdr:row>22</xdr:row>
          <xdr:rowOff>142875</xdr:rowOff>
        </xdr:to>
        <xdr:sp macro="" textlink="">
          <xdr:nvSpPr>
            <xdr:cNvPr id="27703" name="DeleteMelee" hidden="1">
              <a:extLst>
                <a:ext uri="{63B3BB69-23CF-44E3-9099-C40C66FF867C}">
                  <a14:compatExt spid="_x0000_s2770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23</xdr:row>
          <xdr:rowOff>38100</xdr:rowOff>
        </xdr:from>
        <xdr:to>
          <xdr:col>2</xdr:col>
          <xdr:colOff>847725</xdr:colOff>
          <xdr:row>23</xdr:row>
          <xdr:rowOff>142875</xdr:rowOff>
        </xdr:to>
        <xdr:sp macro="" textlink="">
          <xdr:nvSpPr>
            <xdr:cNvPr id="27704" name="DeleteRanged" hidden="1">
              <a:extLst>
                <a:ext uri="{63B3BB69-23CF-44E3-9099-C40C66FF867C}">
                  <a14:compatExt spid="_x0000_s2770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26</xdr:row>
          <xdr:rowOff>38100</xdr:rowOff>
        </xdr:from>
        <xdr:to>
          <xdr:col>2</xdr:col>
          <xdr:colOff>847725</xdr:colOff>
          <xdr:row>26</xdr:row>
          <xdr:rowOff>142875</xdr:rowOff>
        </xdr:to>
        <xdr:sp macro="" textlink="">
          <xdr:nvSpPr>
            <xdr:cNvPr id="27705" name="DeleteStealth" hidden="1">
              <a:extLst>
                <a:ext uri="{63B3BB69-23CF-44E3-9099-C40C66FF867C}">
                  <a14:compatExt spid="_x0000_s2770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27</xdr:row>
          <xdr:rowOff>38100</xdr:rowOff>
        </xdr:from>
        <xdr:to>
          <xdr:col>2</xdr:col>
          <xdr:colOff>847725</xdr:colOff>
          <xdr:row>27</xdr:row>
          <xdr:rowOff>142875</xdr:rowOff>
        </xdr:to>
        <xdr:sp macro="" textlink="">
          <xdr:nvSpPr>
            <xdr:cNvPr id="27706" name="DeleteSurvival" hidden="1">
              <a:extLst>
                <a:ext uri="{63B3BB69-23CF-44E3-9099-C40C66FF867C}">
                  <a14:compatExt spid="_x0000_s2770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24</xdr:row>
          <xdr:rowOff>38100</xdr:rowOff>
        </xdr:from>
        <xdr:to>
          <xdr:col>2</xdr:col>
          <xdr:colOff>847725</xdr:colOff>
          <xdr:row>24</xdr:row>
          <xdr:rowOff>142875</xdr:rowOff>
        </xdr:to>
        <xdr:sp macro="" textlink="">
          <xdr:nvSpPr>
            <xdr:cNvPr id="27707" name="DeleteUnarmed" hidden="1">
              <a:extLst>
                <a:ext uri="{63B3BB69-23CF-44E3-9099-C40C66FF867C}">
                  <a14:compatExt spid="_x0000_s2770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32</xdr:row>
          <xdr:rowOff>38100</xdr:rowOff>
        </xdr:from>
        <xdr:to>
          <xdr:col>2</xdr:col>
          <xdr:colOff>847725</xdr:colOff>
          <xdr:row>32</xdr:row>
          <xdr:rowOff>142875</xdr:rowOff>
        </xdr:to>
        <xdr:sp macro="" textlink="">
          <xdr:nvSpPr>
            <xdr:cNvPr id="27708" name="DeleteAnimalHandling" hidden="1">
              <a:extLst>
                <a:ext uri="{63B3BB69-23CF-44E3-9099-C40C66FF867C}">
                  <a14:compatExt spid="_x0000_s2770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29</xdr:row>
          <xdr:rowOff>38100</xdr:rowOff>
        </xdr:from>
        <xdr:to>
          <xdr:col>2</xdr:col>
          <xdr:colOff>847725</xdr:colOff>
          <xdr:row>29</xdr:row>
          <xdr:rowOff>142875</xdr:rowOff>
        </xdr:to>
        <xdr:sp macro="" textlink="">
          <xdr:nvSpPr>
            <xdr:cNvPr id="27709" name="DeleteDiscipline" hidden="1">
              <a:extLst>
                <a:ext uri="{63B3BB69-23CF-44E3-9099-C40C66FF867C}">
                  <a14:compatExt spid="_x0000_s2770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33</xdr:row>
          <xdr:rowOff>38100</xdr:rowOff>
        </xdr:from>
        <xdr:to>
          <xdr:col>2</xdr:col>
          <xdr:colOff>847725</xdr:colOff>
          <xdr:row>33</xdr:row>
          <xdr:rowOff>142875</xdr:rowOff>
        </xdr:to>
        <xdr:sp macro="" textlink="">
          <xdr:nvSpPr>
            <xdr:cNvPr id="27710" name="DeletePerformance" hidden="1">
              <a:extLst>
                <a:ext uri="{63B3BB69-23CF-44E3-9099-C40C66FF867C}">
                  <a14:compatExt spid="_x0000_s2771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31</xdr:row>
          <xdr:rowOff>38100</xdr:rowOff>
        </xdr:from>
        <xdr:to>
          <xdr:col>2</xdr:col>
          <xdr:colOff>847725</xdr:colOff>
          <xdr:row>31</xdr:row>
          <xdr:rowOff>142875</xdr:rowOff>
        </xdr:to>
        <xdr:sp macro="" textlink="">
          <xdr:nvSpPr>
            <xdr:cNvPr id="27711" name="DeleteStreetwise" hidden="1">
              <a:extLst>
                <a:ext uri="{63B3BB69-23CF-44E3-9099-C40C66FF867C}">
                  <a14:compatExt spid="_x0000_s2771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30</xdr:row>
          <xdr:rowOff>38100</xdr:rowOff>
        </xdr:from>
        <xdr:to>
          <xdr:col>2</xdr:col>
          <xdr:colOff>847725</xdr:colOff>
          <xdr:row>30</xdr:row>
          <xdr:rowOff>142875</xdr:rowOff>
        </xdr:to>
        <xdr:sp macro="" textlink="">
          <xdr:nvSpPr>
            <xdr:cNvPr id="27712" name="DeleteSocial" hidden="1">
              <a:extLst>
                <a:ext uri="{63B3BB69-23CF-44E3-9099-C40C66FF867C}">
                  <a14:compatExt spid="_x0000_s2771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34</xdr:row>
          <xdr:rowOff>38100</xdr:rowOff>
        </xdr:from>
        <xdr:to>
          <xdr:col>2</xdr:col>
          <xdr:colOff>847725</xdr:colOff>
          <xdr:row>34</xdr:row>
          <xdr:rowOff>142875</xdr:rowOff>
        </xdr:to>
        <xdr:sp macro="" textlink="">
          <xdr:nvSpPr>
            <xdr:cNvPr id="27713" name="DeleteArtistry" hidden="1">
              <a:extLst>
                <a:ext uri="{63B3BB69-23CF-44E3-9099-C40C66FF867C}">
                  <a14:compatExt spid="_x0000_s2771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28</xdr:row>
          <xdr:rowOff>38100</xdr:rowOff>
        </xdr:from>
        <xdr:to>
          <xdr:col>2</xdr:col>
          <xdr:colOff>847725</xdr:colOff>
          <xdr:row>28</xdr:row>
          <xdr:rowOff>142875</xdr:rowOff>
        </xdr:to>
        <xdr:sp macro="" textlink="">
          <xdr:nvSpPr>
            <xdr:cNvPr id="27714" name="DeleteAlertness" hidden="1">
              <a:extLst>
                <a:ext uri="{63B3BB69-23CF-44E3-9099-C40C66FF867C}">
                  <a14:compatExt spid="_x0000_s2771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35</xdr:row>
          <xdr:rowOff>38100</xdr:rowOff>
        </xdr:from>
        <xdr:to>
          <xdr:col>2</xdr:col>
          <xdr:colOff>847725</xdr:colOff>
          <xdr:row>35</xdr:row>
          <xdr:rowOff>142875</xdr:rowOff>
        </xdr:to>
        <xdr:sp macro="" textlink="">
          <xdr:nvSpPr>
            <xdr:cNvPr id="27715" name="DeleteCraft" hidden="1">
              <a:extLst>
                <a:ext uri="{63B3BB69-23CF-44E3-9099-C40C66FF867C}">
                  <a14:compatExt spid="_x0000_s2771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37</xdr:row>
          <xdr:rowOff>38100</xdr:rowOff>
        </xdr:from>
        <xdr:to>
          <xdr:col>2</xdr:col>
          <xdr:colOff>847725</xdr:colOff>
          <xdr:row>37</xdr:row>
          <xdr:rowOff>142875</xdr:rowOff>
        </xdr:to>
        <xdr:sp macro="" textlink="">
          <xdr:nvSpPr>
            <xdr:cNvPr id="27716" name="DeleteAcademia" hidden="1">
              <a:extLst>
                <a:ext uri="{63B3BB69-23CF-44E3-9099-C40C66FF867C}">
                  <a14:compatExt spid="_x0000_s2771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36</xdr:row>
          <xdr:rowOff>38100</xdr:rowOff>
        </xdr:from>
        <xdr:to>
          <xdr:col>2</xdr:col>
          <xdr:colOff>847725</xdr:colOff>
          <xdr:row>36</xdr:row>
          <xdr:rowOff>142875</xdr:rowOff>
        </xdr:to>
        <xdr:sp macro="" textlink="">
          <xdr:nvSpPr>
            <xdr:cNvPr id="27717" name="DeleteDevices" hidden="1">
              <a:extLst>
                <a:ext uri="{63B3BB69-23CF-44E3-9099-C40C66FF867C}">
                  <a14:compatExt spid="_x0000_s2771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43</xdr:row>
          <xdr:rowOff>38100</xdr:rowOff>
        </xdr:from>
        <xdr:to>
          <xdr:col>2</xdr:col>
          <xdr:colOff>847725</xdr:colOff>
          <xdr:row>43</xdr:row>
          <xdr:rowOff>142875</xdr:rowOff>
        </xdr:to>
        <xdr:sp macro="" textlink="">
          <xdr:nvSpPr>
            <xdr:cNvPr id="27718" name="DeleteArcana" hidden="1">
              <a:extLst>
                <a:ext uri="{63B3BB69-23CF-44E3-9099-C40C66FF867C}">
                  <a14:compatExt spid="_x0000_s2771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22</xdr:row>
          <xdr:rowOff>38100</xdr:rowOff>
        </xdr:from>
        <xdr:to>
          <xdr:col>1</xdr:col>
          <xdr:colOff>866775</xdr:colOff>
          <xdr:row>22</xdr:row>
          <xdr:rowOff>152400</xdr:rowOff>
        </xdr:to>
        <xdr:sp macro="" textlink="">
          <xdr:nvSpPr>
            <xdr:cNvPr id="27719" name="AddMelee" hidden="1">
              <a:extLst>
                <a:ext uri="{63B3BB69-23CF-44E3-9099-C40C66FF867C}">
                  <a14:compatExt spid="_x0000_s2771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23</xdr:row>
          <xdr:rowOff>38100</xdr:rowOff>
        </xdr:from>
        <xdr:to>
          <xdr:col>1</xdr:col>
          <xdr:colOff>866775</xdr:colOff>
          <xdr:row>23</xdr:row>
          <xdr:rowOff>152400</xdr:rowOff>
        </xdr:to>
        <xdr:sp macro="" textlink="">
          <xdr:nvSpPr>
            <xdr:cNvPr id="27720" name="AddRanged" hidden="1">
              <a:extLst>
                <a:ext uri="{63B3BB69-23CF-44E3-9099-C40C66FF867C}">
                  <a14:compatExt spid="_x0000_s2772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26</xdr:row>
          <xdr:rowOff>38100</xdr:rowOff>
        </xdr:from>
        <xdr:to>
          <xdr:col>1</xdr:col>
          <xdr:colOff>866775</xdr:colOff>
          <xdr:row>26</xdr:row>
          <xdr:rowOff>152400</xdr:rowOff>
        </xdr:to>
        <xdr:sp macro="" textlink="">
          <xdr:nvSpPr>
            <xdr:cNvPr id="27721" name="AddStealth" hidden="1">
              <a:extLst>
                <a:ext uri="{63B3BB69-23CF-44E3-9099-C40C66FF867C}">
                  <a14:compatExt spid="_x0000_s2772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24</xdr:row>
          <xdr:rowOff>38100</xdr:rowOff>
        </xdr:from>
        <xdr:to>
          <xdr:col>1</xdr:col>
          <xdr:colOff>866775</xdr:colOff>
          <xdr:row>24</xdr:row>
          <xdr:rowOff>152400</xdr:rowOff>
        </xdr:to>
        <xdr:sp macro="" textlink="">
          <xdr:nvSpPr>
            <xdr:cNvPr id="27722" name="AddUnarmed" hidden="1">
              <a:extLst>
                <a:ext uri="{63B3BB69-23CF-44E3-9099-C40C66FF867C}">
                  <a14:compatExt spid="_x0000_s2772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27</xdr:row>
          <xdr:rowOff>38100</xdr:rowOff>
        </xdr:from>
        <xdr:to>
          <xdr:col>1</xdr:col>
          <xdr:colOff>866775</xdr:colOff>
          <xdr:row>27</xdr:row>
          <xdr:rowOff>152400</xdr:rowOff>
        </xdr:to>
        <xdr:sp macro="" textlink="">
          <xdr:nvSpPr>
            <xdr:cNvPr id="27723" name="AddSurvival" hidden="1">
              <a:extLst>
                <a:ext uri="{63B3BB69-23CF-44E3-9099-C40C66FF867C}">
                  <a14:compatExt spid="_x0000_s2772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32</xdr:row>
          <xdr:rowOff>38100</xdr:rowOff>
        </xdr:from>
        <xdr:to>
          <xdr:col>1</xdr:col>
          <xdr:colOff>866775</xdr:colOff>
          <xdr:row>32</xdr:row>
          <xdr:rowOff>152400</xdr:rowOff>
        </xdr:to>
        <xdr:sp macro="" textlink="">
          <xdr:nvSpPr>
            <xdr:cNvPr id="27724" name="AddAnimalHandling" hidden="1">
              <a:extLst>
                <a:ext uri="{63B3BB69-23CF-44E3-9099-C40C66FF867C}">
                  <a14:compatExt spid="_x0000_s2772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29</xdr:row>
          <xdr:rowOff>38100</xdr:rowOff>
        </xdr:from>
        <xdr:to>
          <xdr:col>1</xdr:col>
          <xdr:colOff>866775</xdr:colOff>
          <xdr:row>29</xdr:row>
          <xdr:rowOff>152400</xdr:rowOff>
        </xdr:to>
        <xdr:sp macro="" textlink="">
          <xdr:nvSpPr>
            <xdr:cNvPr id="27725" name="AddDiscipline" hidden="1">
              <a:extLst>
                <a:ext uri="{63B3BB69-23CF-44E3-9099-C40C66FF867C}">
                  <a14:compatExt spid="_x0000_s2772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33</xdr:row>
          <xdr:rowOff>38100</xdr:rowOff>
        </xdr:from>
        <xdr:to>
          <xdr:col>1</xdr:col>
          <xdr:colOff>866775</xdr:colOff>
          <xdr:row>33</xdr:row>
          <xdr:rowOff>152400</xdr:rowOff>
        </xdr:to>
        <xdr:sp macro="" textlink="">
          <xdr:nvSpPr>
            <xdr:cNvPr id="27726" name="AddPerformance" hidden="1">
              <a:extLst>
                <a:ext uri="{63B3BB69-23CF-44E3-9099-C40C66FF867C}">
                  <a14:compatExt spid="_x0000_s2772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31</xdr:row>
          <xdr:rowOff>38100</xdr:rowOff>
        </xdr:from>
        <xdr:to>
          <xdr:col>1</xdr:col>
          <xdr:colOff>866775</xdr:colOff>
          <xdr:row>31</xdr:row>
          <xdr:rowOff>152400</xdr:rowOff>
        </xdr:to>
        <xdr:sp macro="" textlink="">
          <xdr:nvSpPr>
            <xdr:cNvPr id="27727" name="AddStreetwise" hidden="1">
              <a:extLst>
                <a:ext uri="{63B3BB69-23CF-44E3-9099-C40C66FF867C}">
                  <a14:compatExt spid="_x0000_s2772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30</xdr:row>
          <xdr:rowOff>38100</xdr:rowOff>
        </xdr:from>
        <xdr:to>
          <xdr:col>1</xdr:col>
          <xdr:colOff>866775</xdr:colOff>
          <xdr:row>30</xdr:row>
          <xdr:rowOff>152400</xdr:rowOff>
        </xdr:to>
        <xdr:sp macro="" textlink="">
          <xdr:nvSpPr>
            <xdr:cNvPr id="27728" name="AddSocial" hidden="1">
              <a:extLst>
                <a:ext uri="{63B3BB69-23CF-44E3-9099-C40C66FF867C}">
                  <a14:compatExt spid="_x0000_s2772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28</xdr:row>
          <xdr:rowOff>38100</xdr:rowOff>
        </xdr:from>
        <xdr:to>
          <xdr:col>1</xdr:col>
          <xdr:colOff>866775</xdr:colOff>
          <xdr:row>28</xdr:row>
          <xdr:rowOff>152400</xdr:rowOff>
        </xdr:to>
        <xdr:sp macro="" textlink="">
          <xdr:nvSpPr>
            <xdr:cNvPr id="27729" name="AddAlertness" hidden="1">
              <a:extLst>
                <a:ext uri="{63B3BB69-23CF-44E3-9099-C40C66FF867C}">
                  <a14:compatExt spid="_x0000_s2772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35</xdr:row>
          <xdr:rowOff>38100</xdr:rowOff>
        </xdr:from>
        <xdr:to>
          <xdr:col>1</xdr:col>
          <xdr:colOff>866775</xdr:colOff>
          <xdr:row>35</xdr:row>
          <xdr:rowOff>152400</xdr:rowOff>
        </xdr:to>
        <xdr:sp macro="" textlink="">
          <xdr:nvSpPr>
            <xdr:cNvPr id="27730" name="AddCraft" hidden="1">
              <a:extLst>
                <a:ext uri="{63B3BB69-23CF-44E3-9099-C40C66FF867C}">
                  <a14:compatExt spid="_x0000_s2773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34</xdr:row>
          <xdr:rowOff>38100</xdr:rowOff>
        </xdr:from>
        <xdr:to>
          <xdr:col>1</xdr:col>
          <xdr:colOff>866775</xdr:colOff>
          <xdr:row>34</xdr:row>
          <xdr:rowOff>152400</xdr:rowOff>
        </xdr:to>
        <xdr:sp macro="" textlink="">
          <xdr:nvSpPr>
            <xdr:cNvPr id="27731" name="AddArtistry" hidden="1">
              <a:extLst>
                <a:ext uri="{63B3BB69-23CF-44E3-9099-C40C66FF867C}">
                  <a14:compatExt spid="_x0000_s2773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37</xdr:row>
          <xdr:rowOff>38100</xdr:rowOff>
        </xdr:from>
        <xdr:to>
          <xdr:col>1</xdr:col>
          <xdr:colOff>866775</xdr:colOff>
          <xdr:row>37</xdr:row>
          <xdr:rowOff>152400</xdr:rowOff>
        </xdr:to>
        <xdr:sp macro="" textlink="">
          <xdr:nvSpPr>
            <xdr:cNvPr id="27732" name="AddAcademia" hidden="1">
              <a:extLst>
                <a:ext uri="{63B3BB69-23CF-44E3-9099-C40C66FF867C}">
                  <a14:compatExt spid="_x0000_s2773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43</xdr:row>
          <xdr:rowOff>38100</xdr:rowOff>
        </xdr:from>
        <xdr:to>
          <xdr:col>1</xdr:col>
          <xdr:colOff>866775</xdr:colOff>
          <xdr:row>43</xdr:row>
          <xdr:rowOff>152400</xdr:rowOff>
        </xdr:to>
        <xdr:sp macro="" textlink="">
          <xdr:nvSpPr>
            <xdr:cNvPr id="27733" name="AddArcana" hidden="1">
              <a:extLst>
                <a:ext uri="{63B3BB69-23CF-44E3-9099-C40C66FF867C}">
                  <a14:compatExt spid="_x0000_s2773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36</xdr:row>
          <xdr:rowOff>38100</xdr:rowOff>
        </xdr:from>
        <xdr:to>
          <xdr:col>1</xdr:col>
          <xdr:colOff>866775</xdr:colOff>
          <xdr:row>36</xdr:row>
          <xdr:rowOff>152400</xdr:rowOff>
        </xdr:to>
        <xdr:sp macro="" textlink="">
          <xdr:nvSpPr>
            <xdr:cNvPr id="27734" name="AddDevices" hidden="1">
              <a:extLst>
                <a:ext uri="{63B3BB69-23CF-44E3-9099-C40C66FF867C}">
                  <a14:compatExt spid="_x0000_s2773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219635</xdr:colOff>
          <xdr:row>54</xdr:row>
          <xdr:rowOff>4482</xdr:rowOff>
        </xdr:from>
        <xdr:to>
          <xdr:col>10</xdr:col>
          <xdr:colOff>609040</xdr:colOff>
          <xdr:row>57</xdr:row>
          <xdr:rowOff>116542</xdr:rowOff>
        </xdr:to>
        <xdr:sp macro="" textlink="">
          <xdr:nvSpPr>
            <xdr:cNvPr id="27754" name="Button 16490" hidden="1">
              <a:extLst>
                <a:ext uri="{63B3BB69-23CF-44E3-9099-C40C66FF867C}">
                  <a14:compatExt spid="_x0000_s27754"/>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en-GB" sz="2600" b="1" i="0" u="none" strike="noStrike" baseline="0">
                  <a:solidFill>
                    <a:srgbClr val="000000"/>
                  </a:solidFill>
                  <a:latin typeface="Calibri"/>
                </a:rPr>
                <a:t>I'm Ready - Create My Character!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38</xdr:row>
          <xdr:rowOff>38100</xdr:rowOff>
        </xdr:from>
        <xdr:to>
          <xdr:col>2</xdr:col>
          <xdr:colOff>847725</xdr:colOff>
          <xdr:row>38</xdr:row>
          <xdr:rowOff>142875</xdr:rowOff>
        </xdr:to>
        <xdr:sp macro="" textlink="">
          <xdr:nvSpPr>
            <xdr:cNvPr id="27759" name="DeleteAcademia" hidden="1">
              <a:extLst>
                <a:ext uri="{63B3BB69-23CF-44E3-9099-C40C66FF867C}">
                  <a14:compatExt spid="_x0000_s27759"/>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38</xdr:row>
          <xdr:rowOff>38100</xdr:rowOff>
        </xdr:from>
        <xdr:to>
          <xdr:col>1</xdr:col>
          <xdr:colOff>866775</xdr:colOff>
          <xdr:row>38</xdr:row>
          <xdr:rowOff>152400</xdr:rowOff>
        </xdr:to>
        <xdr:sp macro="" textlink="">
          <xdr:nvSpPr>
            <xdr:cNvPr id="27760" name="AddAcademia" hidden="1">
              <a:extLst>
                <a:ext uri="{63B3BB69-23CF-44E3-9099-C40C66FF867C}">
                  <a14:compatExt spid="_x0000_s2776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39</xdr:row>
          <xdr:rowOff>38100</xdr:rowOff>
        </xdr:from>
        <xdr:to>
          <xdr:col>2</xdr:col>
          <xdr:colOff>847725</xdr:colOff>
          <xdr:row>39</xdr:row>
          <xdr:rowOff>142875</xdr:rowOff>
        </xdr:to>
        <xdr:sp macro="" textlink="">
          <xdr:nvSpPr>
            <xdr:cNvPr id="27761" name="DeleteAcademia" hidden="1">
              <a:extLst>
                <a:ext uri="{63B3BB69-23CF-44E3-9099-C40C66FF867C}">
                  <a14:compatExt spid="_x0000_s27761"/>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39</xdr:row>
          <xdr:rowOff>38100</xdr:rowOff>
        </xdr:from>
        <xdr:to>
          <xdr:col>1</xdr:col>
          <xdr:colOff>866775</xdr:colOff>
          <xdr:row>39</xdr:row>
          <xdr:rowOff>152400</xdr:rowOff>
        </xdr:to>
        <xdr:sp macro="" textlink="">
          <xdr:nvSpPr>
            <xdr:cNvPr id="27762" name="AddAcademia" hidden="1">
              <a:extLst>
                <a:ext uri="{63B3BB69-23CF-44E3-9099-C40C66FF867C}">
                  <a14:compatExt spid="_x0000_s27762"/>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40</xdr:row>
          <xdr:rowOff>38100</xdr:rowOff>
        </xdr:from>
        <xdr:to>
          <xdr:col>2</xdr:col>
          <xdr:colOff>847725</xdr:colOff>
          <xdr:row>40</xdr:row>
          <xdr:rowOff>142875</xdr:rowOff>
        </xdr:to>
        <xdr:sp macro="" textlink="">
          <xdr:nvSpPr>
            <xdr:cNvPr id="27763" name="DeleteAcademia" hidden="1">
              <a:extLst>
                <a:ext uri="{63B3BB69-23CF-44E3-9099-C40C66FF867C}">
                  <a14:compatExt spid="_x0000_s27763"/>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40</xdr:row>
          <xdr:rowOff>38100</xdr:rowOff>
        </xdr:from>
        <xdr:to>
          <xdr:col>1</xdr:col>
          <xdr:colOff>866775</xdr:colOff>
          <xdr:row>40</xdr:row>
          <xdr:rowOff>152400</xdr:rowOff>
        </xdr:to>
        <xdr:sp macro="" textlink="">
          <xdr:nvSpPr>
            <xdr:cNvPr id="27764" name="AddAcademia" hidden="1">
              <a:extLst>
                <a:ext uri="{63B3BB69-23CF-44E3-9099-C40C66FF867C}">
                  <a14:compatExt spid="_x0000_s27764"/>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41</xdr:row>
          <xdr:rowOff>38100</xdr:rowOff>
        </xdr:from>
        <xdr:to>
          <xdr:col>2</xdr:col>
          <xdr:colOff>847725</xdr:colOff>
          <xdr:row>41</xdr:row>
          <xdr:rowOff>142875</xdr:rowOff>
        </xdr:to>
        <xdr:sp macro="" textlink="">
          <xdr:nvSpPr>
            <xdr:cNvPr id="27765" name="DeleteAcademia" hidden="1">
              <a:extLst>
                <a:ext uri="{63B3BB69-23CF-44E3-9099-C40C66FF867C}">
                  <a14:compatExt spid="_x0000_s27765"/>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41</xdr:row>
          <xdr:rowOff>38100</xdr:rowOff>
        </xdr:from>
        <xdr:to>
          <xdr:col>1</xdr:col>
          <xdr:colOff>866775</xdr:colOff>
          <xdr:row>41</xdr:row>
          <xdr:rowOff>152400</xdr:rowOff>
        </xdr:to>
        <xdr:sp macro="" textlink="">
          <xdr:nvSpPr>
            <xdr:cNvPr id="27766" name="AddAcademia" hidden="1">
              <a:extLst>
                <a:ext uri="{63B3BB69-23CF-44E3-9099-C40C66FF867C}">
                  <a14:compatExt spid="_x0000_s27766"/>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228600</xdr:colOff>
          <xdr:row>42</xdr:row>
          <xdr:rowOff>38100</xdr:rowOff>
        </xdr:from>
        <xdr:to>
          <xdr:col>2</xdr:col>
          <xdr:colOff>847725</xdr:colOff>
          <xdr:row>42</xdr:row>
          <xdr:rowOff>142875</xdr:rowOff>
        </xdr:to>
        <xdr:sp macro="" textlink="">
          <xdr:nvSpPr>
            <xdr:cNvPr id="27767" name="DeleteAcademia" hidden="1">
              <a:extLst>
                <a:ext uri="{63B3BB69-23CF-44E3-9099-C40C66FF867C}">
                  <a14:compatExt spid="_x0000_s27767"/>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266700</xdr:colOff>
          <xdr:row>42</xdr:row>
          <xdr:rowOff>38100</xdr:rowOff>
        </xdr:from>
        <xdr:to>
          <xdr:col>1</xdr:col>
          <xdr:colOff>866775</xdr:colOff>
          <xdr:row>42</xdr:row>
          <xdr:rowOff>152400</xdr:rowOff>
        </xdr:to>
        <xdr:sp macro="" textlink="">
          <xdr:nvSpPr>
            <xdr:cNvPr id="27768" name="AddAcademia" hidden="1">
              <a:extLst>
                <a:ext uri="{63B3BB69-23CF-44E3-9099-C40C66FF867C}">
                  <a14:compatExt spid="_x0000_s27768"/>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GB"/>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6.xml"/><Relationship Id="rId18" Type="http://schemas.openxmlformats.org/officeDocument/2006/relationships/ctrlProp" Target="../ctrlProps/ctrlProp21.xml"/><Relationship Id="rId26" Type="http://schemas.openxmlformats.org/officeDocument/2006/relationships/ctrlProp" Target="../ctrlProps/ctrlProp29.xml"/><Relationship Id="rId39" Type="http://schemas.openxmlformats.org/officeDocument/2006/relationships/ctrlProp" Target="../ctrlProps/ctrlProp42.xml"/><Relationship Id="rId3" Type="http://schemas.openxmlformats.org/officeDocument/2006/relationships/vmlDrawing" Target="../drawings/vmlDrawing2.vml"/><Relationship Id="rId21" Type="http://schemas.openxmlformats.org/officeDocument/2006/relationships/ctrlProp" Target="../ctrlProps/ctrlProp24.xml"/><Relationship Id="rId34" Type="http://schemas.openxmlformats.org/officeDocument/2006/relationships/ctrlProp" Target="../ctrlProps/ctrlProp37.xml"/><Relationship Id="rId42" Type="http://schemas.openxmlformats.org/officeDocument/2006/relationships/ctrlProp" Target="../ctrlProps/ctrlProp45.xml"/><Relationship Id="rId47" Type="http://schemas.openxmlformats.org/officeDocument/2006/relationships/ctrlProp" Target="../ctrlProps/ctrlProp50.xml"/><Relationship Id="rId7" Type="http://schemas.openxmlformats.org/officeDocument/2006/relationships/ctrlProp" Target="../ctrlProps/ctrlProp10.xml"/><Relationship Id="rId12" Type="http://schemas.openxmlformats.org/officeDocument/2006/relationships/ctrlProp" Target="../ctrlProps/ctrlProp15.xml"/><Relationship Id="rId17" Type="http://schemas.openxmlformats.org/officeDocument/2006/relationships/ctrlProp" Target="../ctrlProps/ctrlProp20.xml"/><Relationship Id="rId25" Type="http://schemas.openxmlformats.org/officeDocument/2006/relationships/ctrlProp" Target="../ctrlProps/ctrlProp28.xml"/><Relationship Id="rId33" Type="http://schemas.openxmlformats.org/officeDocument/2006/relationships/ctrlProp" Target="../ctrlProps/ctrlProp36.xml"/><Relationship Id="rId38" Type="http://schemas.openxmlformats.org/officeDocument/2006/relationships/ctrlProp" Target="../ctrlProps/ctrlProp41.xml"/><Relationship Id="rId46" Type="http://schemas.openxmlformats.org/officeDocument/2006/relationships/ctrlProp" Target="../ctrlProps/ctrlProp49.xml"/><Relationship Id="rId2" Type="http://schemas.openxmlformats.org/officeDocument/2006/relationships/drawing" Target="../drawings/drawing3.xml"/><Relationship Id="rId16" Type="http://schemas.openxmlformats.org/officeDocument/2006/relationships/ctrlProp" Target="../ctrlProps/ctrlProp19.xml"/><Relationship Id="rId20" Type="http://schemas.openxmlformats.org/officeDocument/2006/relationships/ctrlProp" Target="../ctrlProps/ctrlProp23.xml"/><Relationship Id="rId29" Type="http://schemas.openxmlformats.org/officeDocument/2006/relationships/ctrlProp" Target="../ctrlProps/ctrlProp32.xml"/><Relationship Id="rId41" Type="http://schemas.openxmlformats.org/officeDocument/2006/relationships/ctrlProp" Target="../ctrlProps/ctrlProp44.xml"/><Relationship Id="rId1" Type="http://schemas.openxmlformats.org/officeDocument/2006/relationships/printerSettings" Target="../printerSettings/printerSettings4.bin"/><Relationship Id="rId6" Type="http://schemas.openxmlformats.org/officeDocument/2006/relationships/ctrlProp" Target="../ctrlProps/ctrlProp9.xml"/><Relationship Id="rId11" Type="http://schemas.openxmlformats.org/officeDocument/2006/relationships/ctrlProp" Target="../ctrlProps/ctrlProp14.xml"/><Relationship Id="rId24" Type="http://schemas.openxmlformats.org/officeDocument/2006/relationships/ctrlProp" Target="../ctrlProps/ctrlProp27.xml"/><Relationship Id="rId32" Type="http://schemas.openxmlformats.org/officeDocument/2006/relationships/ctrlProp" Target="../ctrlProps/ctrlProp35.xml"/><Relationship Id="rId37" Type="http://schemas.openxmlformats.org/officeDocument/2006/relationships/ctrlProp" Target="../ctrlProps/ctrlProp40.xml"/><Relationship Id="rId40" Type="http://schemas.openxmlformats.org/officeDocument/2006/relationships/ctrlProp" Target="../ctrlProps/ctrlProp43.xml"/><Relationship Id="rId45" Type="http://schemas.openxmlformats.org/officeDocument/2006/relationships/ctrlProp" Target="../ctrlProps/ctrlProp48.xml"/><Relationship Id="rId5" Type="http://schemas.openxmlformats.org/officeDocument/2006/relationships/ctrlProp" Target="../ctrlProps/ctrlProp8.xml"/><Relationship Id="rId15" Type="http://schemas.openxmlformats.org/officeDocument/2006/relationships/ctrlProp" Target="../ctrlProps/ctrlProp18.xml"/><Relationship Id="rId23" Type="http://schemas.openxmlformats.org/officeDocument/2006/relationships/ctrlProp" Target="../ctrlProps/ctrlProp26.xml"/><Relationship Id="rId28" Type="http://schemas.openxmlformats.org/officeDocument/2006/relationships/ctrlProp" Target="../ctrlProps/ctrlProp31.xml"/><Relationship Id="rId36" Type="http://schemas.openxmlformats.org/officeDocument/2006/relationships/ctrlProp" Target="../ctrlProps/ctrlProp39.xml"/><Relationship Id="rId49" Type="http://schemas.openxmlformats.org/officeDocument/2006/relationships/comments" Target="../comments1.xml"/><Relationship Id="rId10" Type="http://schemas.openxmlformats.org/officeDocument/2006/relationships/ctrlProp" Target="../ctrlProps/ctrlProp13.xml"/><Relationship Id="rId19" Type="http://schemas.openxmlformats.org/officeDocument/2006/relationships/ctrlProp" Target="../ctrlProps/ctrlProp22.xml"/><Relationship Id="rId31" Type="http://schemas.openxmlformats.org/officeDocument/2006/relationships/ctrlProp" Target="../ctrlProps/ctrlProp34.xml"/><Relationship Id="rId44" Type="http://schemas.openxmlformats.org/officeDocument/2006/relationships/ctrlProp" Target="../ctrlProps/ctrlProp47.xml"/><Relationship Id="rId4" Type="http://schemas.openxmlformats.org/officeDocument/2006/relationships/ctrlProp" Target="../ctrlProps/ctrlProp7.xml"/><Relationship Id="rId9" Type="http://schemas.openxmlformats.org/officeDocument/2006/relationships/ctrlProp" Target="../ctrlProps/ctrlProp12.xml"/><Relationship Id="rId14" Type="http://schemas.openxmlformats.org/officeDocument/2006/relationships/ctrlProp" Target="../ctrlProps/ctrlProp17.xml"/><Relationship Id="rId22" Type="http://schemas.openxmlformats.org/officeDocument/2006/relationships/ctrlProp" Target="../ctrlProps/ctrlProp25.xml"/><Relationship Id="rId27" Type="http://schemas.openxmlformats.org/officeDocument/2006/relationships/ctrlProp" Target="../ctrlProps/ctrlProp30.xml"/><Relationship Id="rId30" Type="http://schemas.openxmlformats.org/officeDocument/2006/relationships/ctrlProp" Target="../ctrlProps/ctrlProp33.xml"/><Relationship Id="rId35" Type="http://schemas.openxmlformats.org/officeDocument/2006/relationships/ctrlProp" Target="../ctrlProps/ctrlProp38.xml"/><Relationship Id="rId43" Type="http://schemas.openxmlformats.org/officeDocument/2006/relationships/ctrlProp" Target="../ctrlProps/ctrlProp46.xml"/><Relationship Id="rId48" Type="http://schemas.openxmlformats.org/officeDocument/2006/relationships/ctrlProp" Target="../ctrlProps/ctrlProp51.xml"/><Relationship Id="rId8"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70"/>
  <sheetViews>
    <sheetView zoomScale="70" zoomScaleNormal="70" workbookViewId="0">
      <selection activeCell="F23" sqref="F23"/>
    </sheetView>
  </sheetViews>
  <sheetFormatPr defaultRowHeight="18.75"/>
  <cols>
    <col min="1" max="1" width="25.85546875" style="35" bestFit="1" customWidth="1"/>
    <col min="2" max="2" width="16.42578125" style="35" bestFit="1" customWidth="1"/>
    <col min="3" max="3" width="23.5703125" style="35" bestFit="1" customWidth="1"/>
    <col min="4" max="4" width="10.28515625" style="35" bestFit="1" customWidth="1"/>
    <col min="5" max="5" width="26.42578125" style="35" bestFit="1" customWidth="1"/>
    <col min="6" max="6" width="10.28515625" style="35" bestFit="1" customWidth="1"/>
    <col min="7" max="7" width="16" style="35" bestFit="1" customWidth="1"/>
    <col min="8" max="8" width="15.85546875" style="35" bestFit="1" customWidth="1"/>
    <col min="9" max="9" width="16.28515625" style="35" bestFit="1" customWidth="1"/>
    <col min="10" max="10" width="16.140625" style="35" bestFit="1" customWidth="1"/>
    <col min="11" max="11" width="12" style="35" bestFit="1" customWidth="1"/>
    <col min="12" max="12" width="13.140625" style="35" bestFit="1" customWidth="1"/>
    <col min="13" max="13" width="9.85546875" style="35" bestFit="1" customWidth="1"/>
    <col min="14" max="14" width="11.85546875" style="35" bestFit="1" customWidth="1"/>
    <col min="15" max="15" width="14.7109375" style="35" bestFit="1" customWidth="1"/>
    <col min="16" max="16" width="16.42578125" style="35" bestFit="1" customWidth="1"/>
    <col min="17" max="19" width="14.85546875" style="35" customWidth="1"/>
    <col min="20" max="20" width="27.140625" style="35" bestFit="1" customWidth="1"/>
    <col min="21" max="23" width="14.85546875" style="35" customWidth="1"/>
    <col min="24" max="16384" width="9.140625" style="35"/>
  </cols>
  <sheetData>
    <row r="1" spans="1:22">
      <c r="A1" s="124" t="s">
        <v>25</v>
      </c>
      <c r="B1" s="125" t="s">
        <v>26</v>
      </c>
      <c r="C1" s="126" t="s">
        <v>27</v>
      </c>
      <c r="D1" s="127" t="s">
        <v>26</v>
      </c>
      <c r="E1" s="124" t="s">
        <v>284</v>
      </c>
      <c r="F1" s="128" t="s">
        <v>26</v>
      </c>
      <c r="G1" s="126" t="s">
        <v>33</v>
      </c>
      <c r="H1" s="129" t="s">
        <v>26</v>
      </c>
    </row>
    <row r="2" spans="1:22">
      <c r="A2" s="130">
        <v>1</v>
      </c>
      <c r="B2" s="131">
        <v>0</v>
      </c>
      <c r="C2" s="132">
        <v>1</v>
      </c>
      <c r="D2" s="133">
        <v>1</v>
      </c>
      <c r="E2" s="130">
        <v>1</v>
      </c>
      <c r="F2" s="134">
        <v>1</v>
      </c>
      <c r="G2" s="132"/>
      <c r="H2" s="135"/>
    </row>
    <row r="3" spans="1:22">
      <c r="A3" s="130">
        <v>2</v>
      </c>
      <c r="B3" s="131">
        <v>1</v>
      </c>
      <c r="C3" s="132">
        <v>2</v>
      </c>
      <c r="D3" s="133">
        <v>2</v>
      </c>
      <c r="E3" s="130">
        <v>2</v>
      </c>
      <c r="F3" s="134">
        <v>2</v>
      </c>
      <c r="G3" s="132"/>
      <c r="H3" s="135"/>
    </row>
    <row r="4" spans="1:22">
      <c r="A4" s="130">
        <v>3</v>
      </c>
      <c r="B4" s="131">
        <v>2</v>
      </c>
      <c r="C4" s="132">
        <v>3</v>
      </c>
      <c r="D4" s="133">
        <v>3</v>
      </c>
      <c r="E4" s="130">
        <v>3</v>
      </c>
      <c r="F4" s="134">
        <v>5</v>
      </c>
      <c r="G4" s="132"/>
      <c r="H4" s="135"/>
    </row>
    <row r="5" spans="1:22">
      <c r="A5" s="130">
        <v>4</v>
      </c>
      <c r="B5" s="131">
        <v>4</v>
      </c>
      <c r="C5" s="132">
        <v>4</v>
      </c>
      <c r="D5" s="133">
        <v>7</v>
      </c>
      <c r="E5" s="130">
        <v>4</v>
      </c>
      <c r="F5" s="134">
        <v>9</v>
      </c>
      <c r="G5" s="132"/>
      <c r="H5" s="135"/>
    </row>
    <row r="6" spans="1:22" ht="19.5" thickBot="1">
      <c r="A6" s="136">
        <v>5</v>
      </c>
      <c r="B6" s="137">
        <v>8</v>
      </c>
      <c r="C6" s="138">
        <v>5</v>
      </c>
      <c r="D6" s="139">
        <v>12</v>
      </c>
      <c r="E6" s="136">
        <v>5</v>
      </c>
      <c r="F6" s="140">
        <v>14</v>
      </c>
      <c r="G6" s="138"/>
      <c r="H6" s="141"/>
    </row>
    <row r="7" spans="1:22" ht="19.5" thickBot="1"/>
    <row r="8" spans="1:22">
      <c r="A8" s="197" t="s">
        <v>191</v>
      </c>
      <c r="B8" s="198"/>
      <c r="C8" s="198"/>
      <c r="D8" s="198"/>
      <c r="E8" s="198"/>
      <c r="F8" s="198"/>
      <c r="G8" s="198"/>
      <c r="H8" s="198"/>
      <c r="I8" s="198"/>
      <c r="J8" s="198"/>
      <c r="K8" s="198"/>
      <c r="L8" s="198"/>
      <c r="M8" s="198"/>
      <c r="N8" s="198"/>
      <c r="O8" s="198"/>
      <c r="P8" s="198"/>
      <c r="Q8" s="199"/>
    </row>
    <row r="9" spans="1:22" ht="19.5" thickBot="1">
      <c r="A9" s="200"/>
      <c r="B9" s="201"/>
      <c r="C9" s="201"/>
      <c r="D9" s="201"/>
      <c r="E9" s="201"/>
      <c r="F9" s="201"/>
      <c r="G9" s="201"/>
      <c r="H9" s="201"/>
      <c r="I9" s="201"/>
      <c r="J9" s="201"/>
      <c r="K9" s="201"/>
      <c r="L9" s="201"/>
      <c r="M9" s="201"/>
      <c r="N9" s="201"/>
      <c r="O9" s="201"/>
      <c r="P9" s="201"/>
      <c r="Q9" s="202"/>
    </row>
    <row r="10" spans="1:22">
      <c r="A10" s="142" t="s">
        <v>9</v>
      </c>
      <c r="B10" s="143" t="s">
        <v>15</v>
      </c>
      <c r="C10" s="143" t="s">
        <v>17</v>
      </c>
      <c r="D10" s="143" t="s">
        <v>18</v>
      </c>
      <c r="E10" s="143" t="s">
        <v>21</v>
      </c>
      <c r="F10" s="143" t="s">
        <v>22</v>
      </c>
      <c r="G10" s="143" t="s">
        <v>10</v>
      </c>
      <c r="H10" s="143" t="s">
        <v>14</v>
      </c>
      <c r="I10" s="143" t="s">
        <v>282</v>
      </c>
      <c r="J10" s="143" t="s">
        <v>19</v>
      </c>
      <c r="K10" s="143" t="s">
        <v>20</v>
      </c>
      <c r="L10" s="143" t="s">
        <v>12</v>
      </c>
      <c r="M10" s="143" t="s">
        <v>11</v>
      </c>
      <c r="N10" s="143" t="s">
        <v>13</v>
      </c>
      <c r="O10" s="143" t="s">
        <v>249</v>
      </c>
      <c r="P10" s="144" t="s">
        <v>253</v>
      </c>
      <c r="Q10" s="144" t="s">
        <v>281</v>
      </c>
      <c r="R10" s="144" t="s">
        <v>280</v>
      </c>
      <c r="S10" s="144" t="s">
        <v>279</v>
      </c>
      <c r="T10" s="144" t="s">
        <v>278</v>
      </c>
      <c r="U10" s="144" t="s">
        <v>276</v>
      </c>
      <c r="V10" s="144" t="s">
        <v>277</v>
      </c>
    </row>
    <row r="11" spans="1:22">
      <c r="A11" s="149" t="s">
        <v>43</v>
      </c>
      <c r="B11" s="45" t="s">
        <v>51</v>
      </c>
      <c r="C11" s="150" t="s">
        <v>288</v>
      </c>
      <c r="D11" s="45" t="s">
        <v>59</v>
      </c>
      <c r="E11" s="45" t="s">
        <v>62</v>
      </c>
      <c r="F11" s="45" t="s">
        <v>67</v>
      </c>
      <c r="G11" s="45" t="s">
        <v>69</v>
      </c>
      <c r="H11" s="45" t="s">
        <v>72</v>
      </c>
      <c r="I11" s="45" t="s">
        <v>75</v>
      </c>
      <c r="J11" s="45" t="s">
        <v>82</v>
      </c>
      <c r="K11" s="45" t="s">
        <v>84</v>
      </c>
      <c r="L11" s="45" t="s">
        <v>89</v>
      </c>
      <c r="M11" s="45" t="s">
        <v>94</v>
      </c>
      <c r="N11" s="45" t="s">
        <v>97</v>
      </c>
      <c r="O11" s="45" t="s">
        <v>250</v>
      </c>
      <c r="P11" s="151" t="s">
        <v>254</v>
      </c>
      <c r="Q11" s="151" t="s">
        <v>265</v>
      </c>
      <c r="R11" s="151" t="s">
        <v>260</v>
      </c>
      <c r="S11" s="151" t="s">
        <v>269</v>
      </c>
      <c r="T11" s="151" t="s">
        <v>273</v>
      </c>
      <c r="U11" s="151"/>
      <c r="V11" s="151"/>
    </row>
    <row r="12" spans="1:22">
      <c r="A12" s="149" t="s">
        <v>41</v>
      </c>
      <c r="B12" s="45" t="s">
        <v>47</v>
      </c>
      <c r="C12" s="150" t="s">
        <v>289</v>
      </c>
      <c r="D12" s="45" t="s">
        <v>60</v>
      </c>
      <c r="E12" s="45" t="s">
        <v>63</v>
      </c>
      <c r="F12" s="45" t="s">
        <v>287</v>
      </c>
      <c r="G12" s="45" t="s">
        <v>113</v>
      </c>
      <c r="H12" s="45" t="s">
        <v>73</v>
      </c>
      <c r="I12" s="45" t="s">
        <v>76</v>
      </c>
      <c r="J12" s="45" t="s">
        <v>83</v>
      </c>
      <c r="K12" s="45" t="s">
        <v>85</v>
      </c>
      <c r="L12" s="45" t="s">
        <v>90</v>
      </c>
      <c r="M12" s="45" t="s">
        <v>95</v>
      </c>
      <c r="N12" s="45" t="s">
        <v>98</v>
      </c>
      <c r="O12" s="45" t="s">
        <v>251</v>
      </c>
      <c r="P12" s="151" t="s">
        <v>106</v>
      </c>
      <c r="Q12" s="151" t="s">
        <v>256</v>
      </c>
      <c r="R12" s="151" t="s">
        <v>262</v>
      </c>
      <c r="S12" s="151" t="s">
        <v>268</v>
      </c>
      <c r="T12" s="151" t="s">
        <v>271</v>
      </c>
      <c r="U12" s="151"/>
      <c r="V12" s="151"/>
    </row>
    <row r="13" spans="1:22">
      <c r="A13" s="149" t="s">
        <v>45</v>
      </c>
      <c r="B13" s="45" t="s">
        <v>48</v>
      </c>
      <c r="C13" s="150" t="s">
        <v>290</v>
      </c>
      <c r="D13" s="45" t="s">
        <v>61</v>
      </c>
      <c r="E13" s="45" t="s">
        <v>111</v>
      </c>
      <c r="F13" s="45" t="s">
        <v>68</v>
      </c>
      <c r="G13" s="45" t="s">
        <v>70</v>
      </c>
      <c r="H13" s="45" t="s">
        <v>74</v>
      </c>
      <c r="I13" s="45" t="s">
        <v>77</v>
      </c>
      <c r="J13" s="45"/>
      <c r="K13" s="45" t="s">
        <v>86</v>
      </c>
      <c r="L13" s="45" t="s">
        <v>91</v>
      </c>
      <c r="M13" s="45" t="s">
        <v>114</v>
      </c>
      <c r="N13" s="45" t="s">
        <v>99</v>
      </c>
      <c r="O13" s="45" t="s">
        <v>252</v>
      </c>
      <c r="P13" s="151" t="s">
        <v>255</v>
      </c>
      <c r="Q13" s="151" t="s">
        <v>260</v>
      </c>
      <c r="R13" s="151" t="s">
        <v>261</v>
      </c>
      <c r="S13" s="151" t="s">
        <v>100</v>
      </c>
      <c r="T13" s="151" t="s">
        <v>272</v>
      </c>
      <c r="U13" s="151"/>
      <c r="V13" s="151"/>
    </row>
    <row r="14" spans="1:22">
      <c r="A14" s="149" t="s">
        <v>46</v>
      </c>
      <c r="B14" s="45" t="s">
        <v>49</v>
      </c>
      <c r="C14" s="150" t="s">
        <v>57</v>
      </c>
      <c r="D14" s="45"/>
      <c r="E14" s="45" t="s">
        <v>64</v>
      </c>
      <c r="F14" s="45"/>
      <c r="G14" s="45" t="s">
        <v>71</v>
      </c>
      <c r="H14" s="45"/>
      <c r="I14" s="45" t="s">
        <v>78</v>
      </c>
      <c r="J14" s="45"/>
      <c r="K14" s="45" t="s">
        <v>87</v>
      </c>
      <c r="L14" s="45" t="s">
        <v>92</v>
      </c>
      <c r="M14" s="45" t="s">
        <v>96</v>
      </c>
      <c r="N14" s="45" t="s">
        <v>115</v>
      </c>
      <c r="O14" s="45" t="s">
        <v>105</v>
      </c>
      <c r="P14" s="151" t="s">
        <v>256</v>
      </c>
      <c r="Q14" s="151" t="s">
        <v>266</v>
      </c>
      <c r="R14" s="151" t="s">
        <v>263</v>
      </c>
      <c r="S14" s="151" t="s">
        <v>101</v>
      </c>
      <c r="T14" s="151" t="s">
        <v>104</v>
      </c>
      <c r="U14" s="151"/>
      <c r="V14" s="151"/>
    </row>
    <row r="15" spans="1:22">
      <c r="A15" s="149" t="s">
        <v>40</v>
      </c>
      <c r="B15" s="45" t="s">
        <v>50</v>
      </c>
      <c r="C15" s="150" t="s">
        <v>58</v>
      </c>
      <c r="D15" s="45"/>
      <c r="E15" s="45" t="s">
        <v>65</v>
      </c>
      <c r="F15" s="45"/>
      <c r="G15" s="45" t="s">
        <v>143</v>
      </c>
      <c r="H15" s="45"/>
      <c r="I15" s="45" t="s">
        <v>79</v>
      </c>
      <c r="J15" s="45"/>
      <c r="K15" s="45" t="s">
        <v>88</v>
      </c>
      <c r="L15" s="45" t="s">
        <v>71</v>
      </c>
      <c r="M15" s="45"/>
      <c r="N15" s="45"/>
      <c r="O15" s="45" t="s">
        <v>257</v>
      </c>
      <c r="P15" s="151" t="s">
        <v>257</v>
      </c>
      <c r="Q15" s="151"/>
      <c r="R15" s="151" t="s">
        <v>264</v>
      </c>
      <c r="S15" s="151" t="s">
        <v>102</v>
      </c>
      <c r="T15" s="151" t="s">
        <v>274</v>
      </c>
      <c r="U15" s="151"/>
      <c r="V15" s="151"/>
    </row>
    <row r="16" spans="1:22">
      <c r="A16" s="149" t="s">
        <v>39</v>
      </c>
      <c r="B16" s="45" t="s">
        <v>52</v>
      </c>
      <c r="C16" s="150" t="s">
        <v>291</v>
      </c>
      <c r="D16" s="45"/>
      <c r="E16" s="45" t="s">
        <v>66</v>
      </c>
      <c r="F16" s="45"/>
      <c r="G16" s="45" t="s">
        <v>140</v>
      </c>
      <c r="H16" s="45"/>
      <c r="I16" s="45" t="s">
        <v>80</v>
      </c>
      <c r="J16" s="45"/>
      <c r="K16" s="45"/>
      <c r="L16" s="45" t="s">
        <v>93</v>
      </c>
      <c r="M16" s="45"/>
      <c r="N16" s="45"/>
      <c r="O16" s="45"/>
      <c r="P16" s="151"/>
      <c r="Q16" s="151"/>
      <c r="R16" s="151"/>
      <c r="S16" s="151" t="s">
        <v>103</v>
      </c>
      <c r="T16" s="151" t="s">
        <v>275</v>
      </c>
      <c r="U16" s="151"/>
      <c r="V16" s="151"/>
    </row>
    <row r="17" spans="1:23">
      <c r="A17" s="149" t="s">
        <v>44</v>
      </c>
      <c r="B17" s="45" t="s">
        <v>53</v>
      </c>
      <c r="C17" s="45" t="s">
        <v>292</v>
      </c>
      <c r="D17" s="45"/>
      <c r="E17" s="45" t="s">
        <v>112</v>
      </c>
      <c r="F17" s="45"/>
      <c r="G17" s="45"/>
      <c r="H17" s="45"/>
      <c r="I17" s="45" t="s">
        <v>81</v>
      </c>
      <c r="J17" s="45"/>
      <c r="K17" s="45"/>
      <c r="L17" s="45"/>
      <c r="M17" s="45"/>
      <c r="N17" s="45"/>
      <c r="O17" s="45"/>
      <c r="P17" s="151"/>
      <c r="Q17" s="151"/>
      <c r="R17" s="151"/>
      <c r="S17" s="151"/>
      <c r="T17" s="151"/>
      <c r="U17" s="151"/>
      <c r="V17" s="151"/>
    </row>
    <row r="18" spans="1:23">
      <c r="A18" s="149" t="s">
        <v>42</v>
      </c>
      <c r="B18" s="45" t="s">
        <v>54</v>
      </c>
      <c r="C18" s="45"/>
      <c r="D18" s="45"/>
      <c r="E18" s="45"/>
      <c r="F18" s="45"/>
      <c r="G18" s="45"/>
      <c r="H18" s="45"/>
      <c r="I18" s="45"/>
      <c r="J18" s="45"/>
      <c r="K18" s="45"/>
      <c r="L18" s="45"/>
      <c r="M18" s="45"/>
      <c r="N18" s="45"/>
      <c r="O18" s="45"/>
      <c r="P18" s="45"/>
      <c r="Q18" s="151"/>
      <c r="R18" s="151"/>
      <c r="S18" s="151"/>
      <c r="T18" s="151"/>
      <c r="U18" s="151"/>
      <c r="V18" s="151"/>
      <c r="W18" s="151"/>
    </row>
    <row r="19" spans="1:23">
      <c r="A19" s="149"/>
      <c r="B19" s="45" t="s">
        <v>55</v>
      </c>
      <c r="C19" s="45"/>
      <c r="D19" s="45"/>
      <c r="E19" s="45"/>
      <c r="F19" s="45"/>
      <c r="G19" s="45"/>
      <c r="H19" s="45"/>
      <c r="J19" s="45"/>
      <c r="K19" s="45"/>
      <c r="L19" s="45"/>
      <c r="M19" s="45"/>
      <c r="N19" s="45"/>
      <c r="O19" s="45"/>
      <c r="P19" s="45"/>
      <c r="Q19" s="151"/>
      <c r="R19" s="151"/>
      <c r="S19" s="151"/>
      <c r="T19" s="151"/>
      <c r="U19" s="151"/>
      <c r="V19" s="151"/>
      <c r="W19" s="151"/>
    </row>
    <row r="20" spans="1:23">
      <c r="A20" s="149"/>
      <c r="B20" s="45" t="s">
        <v>56</v>
      </c>
      <c r="C20" s="45"/>
      <c r="D20" s="45"/>
      <c r="E20" s="45"/>
      <c r="F20" s="45"/>
      <c r="G20" s="45"/>
      <c r="H20" s="45"/>
      <c r="I20" s="45"/>
      <c r="J20" s="45"/>
      <c r="K20" s="45"/>
      <c r="L20" s="45"/>
      <c r="M20" s="45"/>
      <c r="N20" s="45"/>
      <c r="O20" s="45"/>
      <c r="P20" s="45"/>
      <c r="Q20" s="151"/>
      <c r="R20" s="151"/>
      <c r="S20" s="151"/>
      <c r="T20" s="151"/>
      <c r="U20" s="151"/>
      <c r="V20" s="151"/>
      <c r="W20" s="151"/>
    </row>
    <row r="21" spans="1:23">
      <c r="A21" s="149"/>
      <c r="B21" s="45"/>
      <c r="C21" s="45"/>
      <c r="D21" s="45"/>
      <c r="E21" s="45"/>
      <c r="F21" s="45"/>
      <c r="G21" s="45"/>
      <c r="H21" s="45"/>
      <c r="I21" s="45"/>
      <c r="J21" s="45"/>
      <c r="K21" s="45"/>
      <c r="L21" s="45"/>
      <c r="M21" s="45"/>
      <c r="N21" s="45"/>
      <c r="O21" s="45"/>
      <c r="P21" s="45"/>
      <c r="Q21" s="151"/>
      <c r="R21" s="151"/>
      <c r="S21" s="151"/>
      <c r="T21" s="151"/>
      <c r="U21" s="151"/>
      <c r="V21" s="151"/>
      <c r="W21" s="151"/>
    </row>
    <row r="22" spans="1:23">
      <c r="A22" s="149"/>
      <c r="B22" s="45"/>
      <c r="C22" s="45"/>
      <c r="D22" s="45"/>
      <c r="E22" s="45"/>
      <c r="F22" s="45"/>
      <c r="G22" s="45"/>
      <c r="H22" s="45"/>
      <c r="I22" s="45"/>
      <c r="J22" s="45"/>
      <c r="K22" s="45"/>
      <c r="L22" s="45"/>
      <c r="M22" s="45"/>
      <c r="N22" s="45"/>
      <c r="O22" s="45"/>
      <c r="P22" s="45"/>
      <c r="Q22" s="151"/>
      <c r="R22" s="151"/>
      <c r="S22" s="151"/>
      <c r="T22" s="151"/>
      <c r="U22" s="151"/>
      <c r="V22" s="151"/>
      <c r="W22" s="151"/>
    </row>
    <row r="23" spans="1:23">
      <c r="A23" s="149"/>
      <c r="B23" s="45"/>
      <c r="C23" s="45"/>
      <c r="D23" s="45"/>
      <c r="E23" s="45"/>
      <c r="F23" s="45"/>
      <c r="G23" s="45"/>
      <c r="H23" s="45"/>
      <c r="I23" s="45"/>
      <c r="J23" s="45"/>
      <c r="K23" s="45"/>
      <c r="L23" s="45"/>
      <c r="M23" s="45"/>
      <c r="N23" s="45"/>
      <c r="O23" s="45"/>
      <c r="P23" s="45"/>
      <c r="Q23" s="151"/>
      <c r="R23" s="151"/>
      <c r="S23" s="151"/>
      <c r="T23" s="151"/>
      <c r="U23" s="151"/>
      <c r="V23" s="151"/>
      <c r="W23" s="151"/>
    </row>
    <row r="24" spans="1:23">
      <c r="A24" s="149"/>
      <c r="B24" s="45"/>
      <c r="C24" s="45"/>
      <c r="D24" s="45"/>
      <c r="E24" s="45"/>
      <c r="F24" s="45"/>
      <c r="G24" s="45"/>
      <c r="H24" s="45"/>
      <c r="I24" s="45"/>
      <c r="J24" s="45"/>
      <c r="K24" s="45"/>
      <c r="L24" s="45"/>
      <c r="M24" s="45"/>
      <c r="N24" s="45"/>
      <c r="O24" s="45"/>
      <c r="P24" s="45"/>
      <c r="Q24" s="151"/>
      <c r="R24" s="151"/>
      <c r="S24" s="151"/>
      <c r="T24" s="151"/>
      <c r="U24" s="151"/>
      <c r="V24" s="151"/>
      <c r="W24" s="151"/>
    </row>
    <row r="25" spans="1:23">
      <c r="A25" s="149"/>
      <c r="B25" s="45"/>
      <c r="C25" s="45"/>
      <c r="D25" s="45"/>
      <c r="E25" s="45"/>
      <c r="F25" s="45"/>
      <c r="G25" s="45"/>
      <c r="H25" s="45"/>
      <c r="I25" s="45"/>
      <c r="J25" s="45"/>
      <c r="K25" s="45"/>
      <c r="L25" s="45"/>
      <c r="M25" s="45"/>
      <c r="N25" s="45"/>
      <c r="O25" s="45"/>
      <c r="P25" s="45"/>
      <c r="Q25" s="151"/>
      <c r="R25" s="151"/>
      <c r="S25" s="151"/>
      <c r="T25" s="151"/>
      <c r="U25" s="151"/>
      <c r="V25" s="151"/>
      <c r="W25" s="151"/>
    </row>
    <row r="26" spans="1:23" ht="19.5" thickBot="1">
      <c r="A26" s="152"/>
      <c r="B26" s="153"/>
      <c r="C26" s="153"/>
      <c r="D26" s="153"/>
      <c r="E26" s="153"/>
      <c r="F26" s="153"/>
      <c r="G26" s="153"/>
      <c r="H26" s="153"/>
      <c r="I26" s="153"/>
      <c r="J26" s="153"/>
      <c r="K26" s="153"/>
      <c r="L26" s="153"/>
      <c r="M26" s="153"/>
      <c r="N26" s="153"/>
      <c r="O26" s="153"/>
      <c r="P26" s="153"/>
      <c r="Q26" s="154"/>
      <c r="R26" s="154"/>
      <c r="S26" s="154"/>
      <c r="T26" s="154"/>
      <c r="U26" s="154"/>
      <c r="V26" s="154"/>
      <c r="W26" s="154"/>
    </row>
    <row r="27" spans="1:23" ht="19.5" thickBot="1">
      <c r="A27" s="145"/>
      <c r="B27" s="145"/>
      <c r="C27" s="145"/>
      <c r="D27" s="145"/>
    </row>
    <row r="28" spans="1:23" ht="19.5" thickBot="1">
      <c r="A28" s="172" t="s">
        <v>23</v>
      </c>
      <c r="B28" s="173"/>
      <c r="D28" s="146" t="s">
        <v>283</v>
      </c>
    </row>
    <row r="29" spans="1:23">
      <c r="A29" s="174" t="s">
        <v>15</v>
      </c>
      <c r="B29" s="175"/>
      <c r="D29" s="122"/>
    </row>
    <row r="30" spans="1:23">
      <c r="A30" s="147" t="s">
        <v>17</v>
      </c>
      <c r="B30" s="148"/>
      <c r="D30" s="123"/>
    </row>
    <row r="31" spans="1:23">
      <c r="A31" s="147" t="s">
        <v>22</v>
      </c>
      <c r="B31" s="148"/>
      <c r="D31" s="122"/>
    </row>
    <row r="32" spans="1:23">
      <c r="A32" s="147" t="s">
        <v>9</v>
      </c>
      <c r="B32" s="148"/>
      <c r="D32" s="123"/>
    </row>
    <row r="33" spans="1:4">
      <c r="A33" s="147" t="s">
        <v>18</v>
      </c>
      <c r="B33" s="148"/>
      <c r="D33" s="122"/>
    </row>
    <row r="34" spans="1:4">
      <c r="A34" s="147" t="s">
        <v>12</v>
      </c>
      <c r="B34" s="148"/>
      <c r="D34" s="123"/>
    </row>
    <row r="35" spans="1:4">
      <c r="A35" s="147" t="s">
        <v>21</v>
      </c>
      <c r="B35" s="148"/>
      <c r="D35" s="122"/>
    </row>
    <row r="36" spans="1:4">
      <c r="A36" s="147" t="s">
        <v>10</v>
      </c>
      <c r="B36" s="148"/>
      <c r="D36" s="123"/>
    </row>
    <row r="37" spans="1:4">
      <c r="A37" s="147" t="s">
        <v>14</v>
      </c>
      <c r="B37" s="148"/>
      <c r="D37" s="122"/>
    </row>
    <row r="38" spans="1:4">
      <c r="A38" s="147" t="s">
        <v>20</v>
      </c>
      <c r="B38" s="148"/>
      <c r="D38" s="123"/>
    </row>
    <row r="39" spans="1:4">
      <c r="A39" s="147" t="s">
        <v>19</v>
      </c>
      <c r="B39" s="148"/>
      <c r="D39" s="122"/>
    </row>
    <row r="40" spans="1:4">
      <c r="A40" s="147" t="s">
        <v>282</v>
      </c>
      <c r="B40" s="148"/>
      <c r="D40" s="123"/>
    </row>
    <row r="41" spans="1:4">
      <c r="A41" s="147" t="s">
        <v>11</v>
      </c>
      <c r="B41" s="148"/>
      <c r="D41" s="122"/>
    </row>
    <row r="42" spans="1:4">
      <c r="A42" s="147" t="s">
        <v>249</v>
      </c>
      <c r="B42" s="148"/>
      <c r="D42" s="123"/>
    </row>
    <row r="43" spans="1:4">
      <c r="A43" s="147" t="s">
        <v>13</v>
      </c>
      <c r="B43" s="148"/>
      <c r="D43" s="122"/>
    </row>
    <row r="44" spans="1:4">
      <c r="A44" s="147" t="s">
        <v>253</v>
      </c>
      <c r="B44" s="148"/>
      <c r="D44" s="123"/>
    </row>
    <row r="45" spans="1:4">
      <c r="A45" s="147" t="s">
        <v>258</v>
      </c>
      <c r="B45" s="148"/>
      <c r="D45" s="122"/>
    </row>
    <row r="46" spans="1:4">
      <c r="A46" s="176" t="s">
        <v>259</v>
      </c>
      <c r="B46" s="177"/>
      <c r="D46" s="122"/>
    </row>
    <row r="47" spans="1:4">
      <c r="A47" s="176" t="s">
        <v>267</v>
      </c>
      <c r="B47" s="177"/>
      <c r="D47" s="122"/>
    </row>
    <row r="48" spans="1:4">
      <c r="A48" s="176" t="s">
        <v>270</v>
      </c>
      <c r="B48" s="177"/>
      <c r="D48" s="122"/>
    </row>
    <row r="49" spans="1:4">
      <c r="A49" s="176" t="s">
        <v>276</v>
      </c>
      <c r="B49" s="177"/>
      <c r="D49" s="122"/>
    </row>
    <row r="50" spans="1:4" ht="19.5" thickBot="1">
      <c r="A50" s="178" t="s">
        <v>277</v>
      </c>
      <c r="B50" s="179"/>
      <c r="D50" s="122"/>
    </row>
    <row r="51" spans="1:4">
      <c r="A51" s="145"/>
    </row>
    <row r="52" spans="1:4">
      <c r="A52" s="145"/>
    </row>
    <row r="53" spans="1:4">
      <c r="A53" s="83"/>
      <c r="B53" s="145"/>
      <c r="C53" s="145"/>
      <c r="D53" s="145"/>
    </row>
    <row r="54" spans="1:4">
      <c r="A54" s="83"/>
      <c r="B54" s="145"/>
      <c r="C54" s="145"/>
      <c r="D54" s="145"/>
    </row>
    <row r="55" spans="1:4">
      <c r="A55" s="83"/>
      <c r="B55" s="145"/>
      <c r="C55" s="145"/>
      <c r="D55" s="145"/>
    </row>
    <row r="56" spans="1:4">
      <c r="A56" s="83"/>
      <c r="B56" s="145"/>
      <c r="C56" s="145"/>
      <c r="D56" s="145"/>
    </row>
    <row r="57" spans="1:4">
      <c r="A57" s="83"/>
      <c r="B57" s="145"/>
      <c r="C57" s="145"/>
      <c r="D57" s="145"/>
    </row>
    <row r="58" spans="1:4">
      <c r="A58" s="83"/>
      <c r="B58" s="145"/>
      <c r="C58" s="145"/>
      <c r="D58" s="145"/>
    </row>
    <row r="59" spans="1:4">
      <c r="A59" s="83"/>
      <c r="B59" s="145"/>
      <c r="C59" s="145"/>
      <c r="D59" s="145"/>
    </row>
    <row r="60" spans="1:4">
      <c r="A60" s="83"/>
      <c r="B60" s="145"/>
      <c r="C60" s="145"/>
      <c r="D60" s="145"/>
    </row>
    <row r="61" spans="1:4">
      <c r="A61" s="83"/>
      <c r="B61" s="145"/>
      <c r="C61" s="145"/>
      <c r="D61" s="145"/>
    </row>
    <row r="62" spans="1:4">
      <c r="A62" s="83"/>
      <c r="B62" s="145"/>
      <c r="C62" s="145"/>
      <c r="D62" s="145"/>
    </row>
    <row r="63" spans="1:4">
      <c r="A63" s="145"/>
      <c r="B63" s="145"/>
      <c r="C63" s="145"/>
      <c r="D63" s="145"/>
    </row>
    <row r="64" spans="1:4">
      <c r="A64" s="145"/>
      <c r="B64" s="145"/>
      <c r="C64" s="145"/>
      <c r="D64" s="145"/>
    </row>
    <row r="65" spans="1:4">
      <c r="A65" s="145"/>
      <c r="B65" s="145"/>
      <c r="C65" s="145"/>
      <c r="D65" s="145"/>
    </row>
    <row r="66" spans="1:4">
      <c r="A66" s="145"/>
      <c r="B66" s="145"/>
      <c r="C66" s="145"/>
      <c r="D66" s="145"/>
    </row>
    <row r="67" spans="1:4">
      <c r="A67" s="145"/>
      <c r="B67" s="145"/>
      <c r="C67" s="145"/>
      <c r="D67" s="145"/>
    </row>
    <row r="68" spans="1:4">
      <c r="A68" s="145"/>
      <c r="B68" s="145"/>
      <c r="C68" s="145"/>
      <c r="D68" s="145"/>
    </row>
    <row r="69" spans="1:4">
      <c r="A69" s="145"/>
      <c r="B69" s="145"/>
      <c r="C69" s="145"/>
      <c r="D69" s="145"/>
    </row>
    <row r="70" spans="1:4">
      <c r="A70" s="145"/>
      <c r="B70" s="145"/>
      <c r="C70" s="145"/>
      <c r="D70" s="145"/>
    </row>
  </sheetData>
  <sheetProtection algorithmName="SHA-512" hashValue="Bt/dF/wbRMXY9TIeBkSYF04w8mvXSvr+zL60My1a4ylyw+E2CZZv5p122TQTIuSaNFZpSlqWZb7bBI8oCuStuw==" saltValue="6fdk5L1Fit5GildaKaCCcw==" spinCount="100000" sheet="1" objects="1" scenarios="1"/>
  <sortState ref="A11:A18">
    <sortCondition ref="A36"/>
  </sortState>
  <mergeCells count="1">
    <mergeCell ref="A8:Q9"/>
  </mergeCells>
  <dataValidations count="22">
    <dataValidation type="list" allowBlank="1" showInputMessage="1" sqref="D29">
      <formula1>MeleeList</formula1>
    </dataValidation>
    <dataValidation type="list" allowBlank="1" showInputMessage="1" sqref="D30">
      <formula1>RangedList</formula1>
    </dataValidation>
    <dataValidation type="list" allowBlank="1" showInputMessage="1" sqref="D31">
      <formula1>UnarmedList</formula1>
    </dataValidation>
    <dataValidation type="list" allowBlank="1" showInputMessage="1" sqref="D32">
      <formula1>AthleticsList</formula1>
    </dataValidation>
    <dataValidation type="list" allowBlank="1" showInputMessage="1" sqref="D33">
      <formula1>StealthList</formula1>
    </dataValidation>
    <dataValidation type="list" allowBlank="1" showInputMessage="1" sqref="D34">
      <formula1>AlertnessList</formula1>
    </dataValidation>
    <dataValidation type="list" allowBlank="1" showInputMessage="1" sqref="D35">
      <formula1>SurvivalList</formula1>
    </dataValidation>
    <dataValidation type="list" allowBlank="1" showInputMessage="1" sqref="D36">
      <formula1>AnimalHandlingList</formula1>
    </dataValidation>
    <dataValidation type="list" allowBlank="1" showInputMessage="1" sqref="D37">
      <formula1>DisciplineList</formula1>
    </dataValidation>
    <dataValidation type="list" allowBlank="1" showInputMessage="1" sqref="D38">
      <formula1>SocialList</formula1>
    </dataValidation>
    <dataValidation type="list" allowBlank="1" showInputMessage="1" sqref="D39">
      <formula1>StreetwiseList</formula1>
    </dataValidation>
    <dataValidation type="list" allowBlank="1" showInputMessage="1" sqref="D41">
      <formula1>"ArtistryList"</formula1>
    </dataValidation>
    <dataValidation type="list" allowBlank="1" showInputMessage="1" sqref="D42">
      <formula1>DemolitionsList</formula1>
    </dataValidation>
    <dataValidation type="list" allowBlank="1" showInputMessage="1" sqref="D43">
      <formula1>CraftList</formula1>
    </dataValidation>
    <dataValidation type="list" allowBlank="1" showInputMessage="1" sqref="D44">
      <formula1>MechanicsList</formula1>
    </dataValidation>
    <dataValidation type="list" allowBlank="1" showInputMessage="1" sqref="D45">
      <formula1>TechHardwareList</formula1>
    </dataValidation>
    <dataValidation type="list" allowBlank="1" showInputMessage="1" sqref="D40">
      <formula1>PerformanceList</formula1>
    </dataValidation>
    <dataValidation type="list" allowBlank="1" showInputMessage="1" sqref="D46">
      <formula1>TechSoftwareList</formula1>
    </dataValidation>
    <dataValidation type="list" allowBlank="1" showInputMessage="1" sqref="D47">
      <formula1>KnowledgeArtsList</formula1>
    </dataValidation>
    <dataValidation type="list" allowBlank="1" showInputMessage="1" sqref="D48">
      <formula1>KnowledgeSciencesList</formula1>
    </dataValidation>
    <dataValidation type="list" allowBlank="1" showInputMessage="1" sqref="D49">
      <formula1>ProfessionList</formula1>
    </dataValidation>
    <dataValidation type="list" allowBlank="1" showInputMessage="1" sqref="D50">
      <formula1>LanguagesList</formula1>
    </dataValidation>
  </dataValidation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8:X25"/>
  <sheetViews>
    <sheetView workbookViewId="0">
      <selection activeCell="A35" sqref="A35"/>
    </sheetView>
  </sheetViews>
  <sheetFormatPr defaultRowHeight="15"/>
  <cols>
    <col min="1" max="1" width="21.42578125" customWidth="1"/>
    <col min="2" max="2" width="52.42578125" bestFit="1" customWidth="1"/>
    <col min="3" max="3" width="56.5703125" customWidth="1"/>
    <col min="4" max="4" width="32.5703125" customWidth="1"/>
    <col min="5" max="5" width="21.85546875" bestFit="1" customWidth="1"/>
    <col min="6" max="6" width="55.5703125" bestFit="1" customWidth="1"/>
    <col min="7" max="7" width="51.28515625" bestFit="1" customWidth="1"/>
    <col min="8" max="8" width="29.28515625" bestFit="1" customWidth="1"/>
    <col min="9" max="9" width="13.5703125" bestFit="1" customWidth="1"/>
    <col min="10" max="10" width="6.140625" bestFit="1" customWidth="1"/>
    <col min="11" max="12" width="5.85546875" bestFit="1" customWidth="1"/>
    <col min="13" max="13" width="12.85546875" bestFit="1" customWidth="1"/>
    <col min="14" max="14" width="6.140625" bestFit="1" customWidth="1"/>
    <col min="15" max="16" width="5.85546875" bestFit="1" customWidth="1"/>
    <col min="17" max="17" width="21.140625" bestFit="1" customWidth="1"/>
    <col min="18" max="18" width="6.140625" bestFit="1" customWidth="1"/>
    <col min="19" max="20" width="5.85546875" bestFit="1" customWidth="1"/>
    <col min="21" max="21" width="17.5703125" bestFit="1" customWidth="1"/>
    <col min="22" max="22" width="6.140625" bestFit="1" customWidth="1"/>
    <col min="23" max="24" width="5.85546875" bestFit="1" customWidth="1"/>
  </cols>
  <sheetData>
    <row r="8" spans="1:24" ht="15.75" thickBot="1"/>
    <row r="9" spans="1:24" ht="18.75">
      <c r="A9" s="67" t="s">
        <v>177</v>
      </c>
      <c r="B9" s="68" t="s">
        <v>31</v>
      </c>
      <c r="C9" s="68" t="s">
        <v>32</v>
      </c>
      <c r="D9" s="68" t="s">
        <v>30</v>
      </c>
      <c r="E9" s="69" t="s">
        <v>178</v>
      </c>
      <c r="F9" s="68" t="s">
        <v>31</v>
      </c>
      <c r="G9" s="68" t="s">
        <v>32</v>
      </c>
      <c r="H9" s="68" t="s">
        <v>30</v>
      </c>
      <c r="I9" s="69" t="s">
        <v>181</v>
      </c>
      <c r="J9" s="68" t="s">
        <v>31</v>
      </c>
      <c r="K9" s="68" t="s">
        <v>32</v>
      </c>
      <c r="L9" s="68" t="s">
        <v>30</v>
      </c>
      <c r="M9" s="69" t="s">
        <v>179</v>
      </c>
      <c r="N9" s="68" t="s">
        <v>31</v>
      </c>
      <c r="O9" s="68" t="s">
        <v>32</v>
      </c>
      <c r="P9" s="68" t="s">
        <v>30</v>
      </c>
      <c r="Q9" s="69" t="s">
        <v>182</v>
      </c>
      <c r="R9" s="68" t="s">
        <v>31</v>
      </c>
      <c r="S9" s="68" t="s">
        <v>32</v>
      </c>
      <c r="T9" s="68" t="s">
        <v>30</v>
      </c>
      <c r="U9" s="69" t="s">
        <v>180</v>
      </c>
      <c r="V9" s="68" t="s">
        <v>31</v>
      </c>
      <c r="W9" s="68" t="s">
        <v>32</v>
      </c>
      <c r="X9" s="70" t="s">
        <v>30</v>
      </c>
    </row>
    <row r="10" spans="1:24" ht="18.75">
      <c r="A10" s="71" t="s">
        <v>144</v>
      </c>
      <c r="B10" s="85" t="s">
        <v>196</v>
      </c>
      <c r="C10" s="85" t="s">
        <v>213</v>
      </c>
      <c r="D10" s="85"/>
      <c r="E10" s="72" t="s">
        <v>166</v>
      </c>
      <c r="F10" s="116" t="s">
        <v>220</v>
      </c>
      <c r="G10" s="75" t="s">
        <v>221</v>
      </c>
      <c r="H10" s="75"/>
      <c r="I10" s="72" t="s">
        <v>157</v>
      </c>
      <c r="J10" s="75"/>
      <c r="K10" s="75"/>
      <c r="L10" s="75"/>
      <c r="M10" s="72" t="s">
        <v>183</v>
      </c>
      <c r="N10" s="75"/>
      <c r="O10" s="75"/>
      <c r="P10" s="75"/>
      <c r="Q10" s="72" t="s">
        <v>158</v>
      </c>
      <c r="R10" s="75"/>
      <c r="S10" s="75"/>
      <c r="T10" s="75"/>
      <c r="U10" s="72" t="s">
        <v>188</v>
      </c>
      <c r="V10" s="75"/>
      <c r="W10" s="75"/>
      <c r="X10" s="77"/>
    </row>
    <row r="11" spans="1:24" ht="18.75">
      <c r="A11" s="71" t="s">
        <v>145</v>
      </c>
      <c r="B11" s="85" t="s">
        <v>193</v>
      </c>
      <c r="C11" s="85" t="s">
        <v>214</v>
      </c>
      <c r="D11" s="85"/>
      <c r="E11" s="72" t="s">
        <v>167</v>
      </c>
      <c r="F11" s="116" t="s">
        <v>222</v>
      </c>
      <c r="G11" s="75" t="s">
        <v>223</v>
      </c>
      <c r="H11" s="75"/>
      <c r="I11" s="72" t="s">
        <v>186</v>
      </c>
      <c r="J11" s="75"/>
      <c r="K11" s="75"/>
      <c r="L11" s="75"/>
      <c r="M11" s="72" t="s">
        <v>184</v>
      </c>
      <c r="N11" s="75"/>
      <c r="O11" s="75"/>
      <c r="P11" s="75"/>
      <c r="Q11" s="72" t="s">
        <v>159</v>
      </c>
      <c r="R11" s="75"/>
      <c r="S11" s="75"/>
      <c r="T11" s="75"/>
      <c r="U11" s="72" t="s">
        <v>189</v>
      </c>
      <c r="V11" s="75"/>
      <c r="W11" s="75"/>
      <c r="X11" s="77"/>
    </row>
    <row r="12" spans="1:24" ht="18.75">
      <c r="A12" s="71" t="s">
        <v>146</v>
      </c>
      <c r="B12" s="85" t="s">
        <v>195</v>
      </c>
      <c r="C12" s="85" t="s">
        <v>194</v>
      </c>
      <c r="D12" s="85"/>
      <c r="E12" s="72" t="s">
        <v>168</v>
      </c>
      <c r="F12" s="75" t="s">
        <v>224</v>
      </c>
      <c r="G12" s="116" t="s">
        <v>225</v>
      </c>
      <c r="H12" s="75"/>
      <c r="I12" s="72" t="s">
        <v>187</v>
      </c>
      <c r="J12" s="75"/>
      <c r="K12" s="75"/>
      <c r="L12" s="75"/>
      <c r="M12" s="72" t="s">
        <v>185</v>
      </c>
      <c r="N12" s="75"/>
      <c r="O12" s="75"/>
      <c r="P12" s="75"/>
      <c r="Q12" s="72" t="s">
        <v>160</v>
      </c>
      <c r="R12" s="75"/>
      <c r="S12" s="75"/>
      <c r="T12" s="75"/>
      <c r="U12" s="72" t="s">
        <v>190</v>
      </c>
      <c r="V12" s="75"/>
      <c r="W12" s="75"/>
      <c r="X12" s="77"/>
    </row>
    <row r="13" spans="1:24" ht="18.75">
      <c r="A13" s="71" t="s">
        <v>147</v>
      </c>
      <c r="B13" s="87" t="s">
        <v>197</v>
      </c>
      <c r="C13" s="87" t="s">
        <v>198</v>
      </c>
      <c r="D13" s="85"/>
      <c r="E13" s="72" t="s">
        <v>169</v>
      </c>
      <c r="F13" s="75" t="s">
        <v>226</v>
      </c>
      <c r="G13" s="75"/>
      <c r="H13" s="75"/>
      <c r="I13" s="72"/>
      <c r="J13" s="75"/>
      <c r="K13" s="75"/>
      <c r="L13" s="75"/>
      <c r="M13" s="72"/>
      <c r="N13" s="75"/>
      <c r="O13" s="75"/>
      <c r="P13" s="75"/>
      <c r="Q13" s="72" t="s">
        <v>161</v>
      </c>
      <c r="R13" s="75"/>
      <c r="S13" s="75"/>
      <c r="T13" s="75"/>
      <c r="U13" s="72"/>
      <c r="V13" s="75"/>
      <c r="W13" s="75"/>
      <c r="X13" s="77"/>
    </row>
    <row r="14" spans="1:24" ht="18.75">
      <c r="A14" s="71" t="s">
        <v>148</v>
      </c>
      <c r="B14" s="85" t="s">
        <v>199</v>
      </c>
      <c r="C14" s="85" t="s">
        <v>200</v>
      </c>
      <c r="D14" s="85"/>
      <c r="E14" s="72" t="s">
        <v>170</v>
      </c>
      <c r="F14" s="75" t="s">
        <v>227</v>
      </c>
      <c r="G14" s="75" t="s">
        <v>228</v>
      </c>
      <c r="H14" s="75"/>
      <c r="I14" s="72"/>
      <c r="J14" s="75"/>
      <c r="K14" s="75"/>
      <c r="L14" s="75"/>
      <c r="M14" s="72"/>
      <c r="N14" s="75"/>
      <c r="O14" s="75"/>
      <c r="P14" s="75"/>
      <c r="Q14" s="72" t="s">
        <v>162</v>
      </c>
      <c r="R14" s="75"/>
      <c r="S14" s="75"/>
      <c r="T14" s="75"/>
      <c r="U14" s="72"/>
      <c r="V14" s="75"/>
      <c r="W14" s="75"/>
      <c r="X14" s="77"/>
    </row>
    <row r="15" spans="1:24" ht="18.75">
      <c r="A15" s="71" t="s">
        <v>149</v>
      </c>
      <c r="B15" s="85" t="s">
        <v>201</v>
      </c>
      <c r="C15" s="85" t="s">
        <v>202</v>
      </c>
      <c r="D15" s="85"/>
      <c r="E15" s="72" t="s">
        <v>171</v>
      </c>
      <c r="F15" s="116" t="s">
        <v>229</v>
      </c>
      <c r="G15" s="75"/>
      <c r="H15" s="75"/>
      <c r="I15" s="72"/>
      <c r="J15" s="75"/>
      <c r="K15" s="75"/>
      <c r="L15" s="75"/>
      <c r="M15" s="72"/>
      <c r="N15" s="75"/>
      <c r="O15" s="75"/>
      <c r="P15" s="75"/>
      <c r="Q15" s="72" t="s">
        <v>163</v>
      </c>
      <c r="R15" s="75"/>
      <c r="S15" s="75"/>
      <c r="T15" s="75"/>
      <c r="U15" s="72"/>
      <c r="V15" s="75"/>
      <c r="W15" s="75"/>
      <c r="X15" s="77"/>
    </row>
    <row r="16" spans="1:24" ht="18.75">
      <c r="A16" s="71" t="s">
        <v>150</v>
      </c>
      <c r="B16" s="87" t="s">
        <v>203</v>
      </c>
      <c r="C16" s="87" t="s">
        <v>215</v>
      </c>
      <c r="D16" s="85"/>
      <c r="E16" s="72" t="s">
        <v>172</v>
      </c>
      <c r="F16" s="116" t="s">
        <v>230</v>
      </c>
      <c r="G16" s="116" t="s">
        <v>231</v>
      </c>
      <c r="H16" s="75"/>
      <c r="I16" s="72"/>
      <c r="J16" s="75"/>
      <c r="K16" s="75"/>
      <c r="L16" s="75"/>
      <c r="M16" s="72"/>
      <c r="N16" s="75"/>
      <c r="O16" s="75"/>
      <c r="P16" s="75"/>
      <c r="Q16" s="72" t="s">
        <v>164</v>
      </c>
      <c r="R16" s="75"/>
      <c r="S16" s="75"/>
      <c r="T16" s="75"/>
      <c r="U16" s="72"/>
      <c r="V16" s="75"/>
      <c r="W16" s="75"/>
      <c r="X16" s="77"/>
    </row>
    <row r="17" spans="1:24" ht="18.75">
      <c r="A17" s="71" t="s">
        <v>151</v>
      </c>
      <c r="B17" s="87" t="s">
        <v>204</v>
      </c>
      <c r="C17" s="87" t="s">
        <v>205</v>
      </c>
      <c r="D17" s="85"/>
      <c r="E17" s="72" t="s">
        <v>173</v>
      </c>
      <c r="F17" s="75" t="s">
        <v>232</v>
      </c>
      <c r="G17" s="75" t="s">
        <v>233</v>
      </c>
      <c r="H17" s="75"/>
      <c r="I17" s="72"/>
      <c r="J17" s="75"/>
      <c r="K17" s="75"/>
      <c r="L17" s="75"/>
      <c r="M17" s="72"/>
      <c r="N17" s="75"/>
      <c r="O17" s="75"/>
      <c r="P17" s="75"/>
      <c r="Q17" s="72" t="s">
        <v>165</v>
      </c>
      <c r="R17" s="75"/>
      <c r="S17" s="75"/>
      <c r="T17" s="75"/>
      <c r="U17" s="72"/>
      <c r="V17" s="75"/>
      <c r="W17" s="75"/>
      <c r="X17" s="77"/>
    </row>
    <row r="18" spans="1:24" ht="18.75">
      <c r="A18" s="71" t="s">
        <v>219</v>
      </c>
      <c r="B18" s="87" t="s">
        <v>206</v>
      </c>
      <c r="C18" s="87" t="s">
        <v>216</v>
      </c>
      <c r="D18" s="85"/>
      <c r="E18" s="72" t="s">
        <v>174</v>
      </c>
      <c r="F18" s="116" t="s">
        <v>235</v>
      </c>
      <c r="G18" s="116" t="s">
        <v>234</v>
      </c>
      <c r="H18" s="75"/>
      <c r="I18" s="72"/>
      <c r="J18" s="75"/>
      <c r="K18" s="75"/>
      <c r="L18" s="75"/>
      <c r="M18" s="72"/>
      <c r="N18" s="75"/>
      <c r="O18" s="75"/>
      <c r="P18" s="75"/>
      <c r="Q18" s="72"/>
      <c r="R18" s="75"/>
      <c r="S18" s="75"/>
      <c r="T18" s="75"/>
      <c r="U18" s="72"/>
      <c r="V18" s="75"/>
      <c r="W18" s="75"/>
      <c r="X18" s="77"/>
    </row>
    <row r="19" spans="1:24" ht="18.75">
      <c r="A19" s="71" t="s">
        <v>152</v>
      </c>
      <c r="B19" s="85" t="s">
        <v>207</v>
      </c>
      <c r="C19" s="85" t="s">
        <v>208</v>
      </c>
      <c r="D19" s="85"/>
      <c r="E19" s="72" t="s">
        <v>175</v>
      </c>
      <c r="F19" s="116" t="s">
        <v>236</v>
      </c>
      <c r="G19" s="75"/>
      <c r="H19" s="75"/>
      <c r="I19" s="72"/>
      <c r="J19" s="75"/>
      <c r="K19" s="75"/>
      <c r="L19" s="75"/>
      <c r="M19" s="72"/>
      <c r="N19" s="75"/>
      <c r="O19" s="75"/>
      <c r="P19" s="75"/>
      <c r="Q19" s="72"/>
      <c r="R19" s="75"/>
      <c r="S19" s="75"/>
      <c r="T19" s="75"/>
      <c r="U19" s="72"/>
      <c r="V19" s="75"/>
      <c r="W19" s="75"/>
      <c r="X19" s="77"/>
    </row>
    <row r="20" spans="1:24" ht="18.75">
      <c r="A20" s="71" t="s">
        <v>153</v>
      </c>
      <c r="B20" s="85" t="s">
        <v>217</v>
      </c>
      <c r="C20" s="85" t="s">
        <v>217</v>
      </c>
      <c r="D20" s="85"/>
      <c r="E20" s="72" t="s">
        <v>237</v>
      </c>
      <c r="F20" s="116" t="s">
        <v>238</v>
      </c>
      <c r="G20" s="75" t="s">
        <v>239</v>
      </c>
      <c r="H20" s="75" t="s">
        <v>242</v>
      </c>
      <c r="I20" s="72"/>
      <c r="J20" s="75"/>
      <c r="K20" s="75"/>
      <c r="L20" s="75"/>
      <c r="M20" s="72"/>
      <c r="N20" s="75"/>
      <c r="O20" s="75"/>
      <c r="P20" s="75"/>
      <c r="Q20" s="72"/>
      <c r="R20" s="75"/>
      <c r="S20" s="75"/>
      <c r="T20" s="75"/>
      <c r="U20" s="72"/>
      <c r="V20" s="75"/>
      <c r="W20" s="75"/>
      <c r="X20" s="77"/>
    </row>
    <row r="21" spans="1:24" ht="18.75">
      <c r="A21" s="71" t="s">
        <v>154</v>
      </c>
      <c r="B21" s="85" t="s">
        <v>209</v>
      </c>
      <c r="C21" s="85" t="s">
        <v>210</v>
      </c>
      <c r="D21" s="85"/>
      <c r="E21" s="72"/>
      <c r="F21" s="75"/>
      <c r="G21" s="75"/>
      <c r="H21" s="75"/>
      <c r="I21" s="72"/>
      <c r="J21" s="75"/>
      <c r="K21" s="75"/>
      <c r="L21" s="75"/>
      <c r="M21" s="72"/>
      <c r="N21" s="75"/>
      <c r="O21" s="75"/>
      <c r="P21" s="75"/>
      <c r="Q21" s="72"/>
      <c r="R21" s="75"/>
      <c r="S21" s="75"/>
      <c r="T21" s="75"/>
      <c r="U21" s="72"/>
      <c r="V21" s="75"/>
      <c r="W21" s="75"/>
      <c r="X21" s="77"/>
    </row>
    <row r="22" spans="1:24" ht="18.75">
      <c r="A22" s="71" t="s">
        <v>155</v>
      </c>
      <c r="B22" s="85"/>
      <c r="C22" s="85"/>
      <c r="D22" s="85" t="s">
        <v>211</v>
      </c>
      <c r="E22" s="72"/>
      <c r="F22" s="75"/>
      <c r="G22" s="75"/>
      <c r="H22" s="75"/>
      <c r="I22" s="72"/>
      <c r="J22" s="75"/>
      <c r="K22" s="75"/>
      <c r="L22" s="75"/>
      <c r="M22" s="72"/>
      <c r="N22" s="75"/>
      <c r="O22" s="75"/>
      <c r="P22" s="75"/>
      <c r="Q22" s="72"/>
      <c r="R22" s="75"/>
      <c r="S22" s="75"/>
      <c r="T22" s="75"/>
      <c r="U22" s="72"/>
      <c r="V22" s="75"/>
      <c r="W22" s="75"/>
      <c r="X22" s="77"/>
    </row>
    <row r="23" spans="1:24" ht="18.75">
      <c r="A23" s="71" t="s">
        <v>156</v>
      </c>
      <c r="B23" s="87" t="s">
        <v>212</v>
      </c>
      <c r="C23" s="87" t="s">
        <v>218</v>
      </c>
      <c r="D23" s="85"/>
      <c r="E23" s="72"/>
      <c r="F23" s="75"/>
      <c r="G23" s="75"/>
      <c r="H23" s="75"/>
      <c r="I23" s="72"/>
      <c r="J23" s="75"/>
      <c r="K23" s="75"/>
      <c r="L23" s="75"/>
      <c r="M23" s="72"/>
      <c r="N23" s="75"/>
      <c r="O23" s="75"/>
      <c r="P23" s="75"/>
      <c r="Q23" s="72"/>
      <c r="R23" s="75"/>
      <c r="S23" s="75"/>
      <c r="T23" s="75"/>
      <c r="U23" s="72"/>
      <c r="V23" s="75"/>
      <c r="W23" s="75"/>
      <c r="X23" s="77"/>
    </row>
    <row r="24" spans="1:24" ht="18.75">
      <c r="A24" s="71"/>
      <c r="B24" s="87"/>
      <c r="C24" s="87"/>
      <c r="D24" s="85"/>
      <c r="E24" s="72"/>
      <c r="F24" s="75"/>
      <c r="G24" s="75"/>
      <c r="H24" s="75"/>
      <c r="I24" s="72"/>
      <c r="J24" s="75"/>
      <c r="K24" s="75"/>
      <c r="L24" s="75"/>
      <c r="M24" s="72"/>
      <c r="N24" s="75"/>
      <c r="O24" s="75"/>
      <c r="P24" s="75"/>
      <c r="Q24" s="72"/>
      <c r="R24" s="75"/>
      <c r="S24" s="75"/>
      <c r="T24" s="75"/>
      <c r="U24" s="72"/>
      <c r="V24" s="75"/>
      <c r="W24" s="75"/>
      <c r="X24" s="77"/>
    </row>
    <row r="25" spans="1:24" ht="19.5" thickBot="1">
      <c r="A25" s="73"/>
      <c r="B25" s="89"/>
      <c r="C25" s="89"/>
      <c r="D25" s="86"/>
      <c r="E25" s="74"/>
      <c r="F25" s="76"/>
      <c r="G25" s="76"/>
      <c r="H25" s="76"/>
      <c r="I25" s="74"/>
      <c r="J25" s="76"/>
      <c r="K25" s="76"/>
      <c r="L25" s="76"/>
      <c r="M25" s="74"/>
      <c r="N25" s="76"/>
      <c r="O25" s="76"/>
      <c r="P25" s="76"/>
      <c r="Q25" s="74"/>
      <c r="R25" s="76"/>
      <c r="S25" s="76"/>
      <c r="T25" s="76"/>
      <c r="U25" s="74"/>
      <c r="V25" s="76"/>
      <c r="W25" s="76"/>
      <c r="X25" s="78"/>
    </row>
  </sheetData>
  <sheetProtection algorithmName="SHA-512" hashValue="wMIi5X5uCeSDsKWdfGK0PxjVK3d09H4cgixyiNRnb5FVhwo1FDAurMS6uxJUPvNCTxKyGTJDG2IuuxnVq5BMHA==" saltValue="M7E2Vn4dldu0dDFbvcpgLA==" spinCount="100000" sheet="1" objects="1" scenarios="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0420" r:id="rId4" name="Button 4">
              <controlPr defaultSize="0" print="0" autoFill="0" autoPict="0" macro="[0]!updateCombatFlawsList">
                <anchor moveWithCells="1" sizeWithCells="1">
                  <from>
                    <xdr:col>11</xdr:col>
                    <xdr:colOff>266700</xdr:colOff>
                    <xdr:row>4</xdr:row>
                    <xdr:rowOff>57150</xdr:rowOff>
                  </from>
                  <to>
                    <xdr:col>13</xdr:col>
                    <xdr:colOff>95250</xdr:colOff>
                    <xdr:row>7</xdr:row>
                    <xdr:rowOff>95250</xdr:rowOff>
                  </to>
                </anchor>
              </controlPr>
            </control>
          </mc:Choice>
        </mc:AlternateContent>
        <mc:AlternateContent xmlns:mc="http://schemas.openxmlformats.org/markup-compatibility/2006">
          <mc:Choice Requires="x14">
            <control shapeId="60421" r:id="rId5" name="Button 5">
              <controlPr defaultSize="0" print="0" autoFill="0" autoPict="0" macro="[0]!updateSupernaturalAssetsList">
                <anchor moveWithCells="1" sizeWithCells="1">
                  <from>
                    <xdr:col>16</xdr:col>
                    <xdr:colOff>76200</xdr:colOff>
                    <xdr:row>4</xdr:row>
                    <xdr:rowOff>57150</xdr:rowOff>
                  </from>
                  <to>
                    <xdr:col>16</xdr:col>
                    <xdr:colOff>1400175</xdr:colOff>
                    <xdr:row>7</xdr:row>
                    <xdr:rowOff>95250</xdr:rowOff>
                  </to>
                </anchor>
              </controlPr>
            </control>
          </mc:Choice>
        </mc:AlternateContent>
        <mc:AlternateContent xmlns:mc="http://schemas.openxmlformats.org/markup-compatibility/2006">
          <mc:Choice Requires="x14">
            <control shapeId="60422" r:id="rId6" name="Button 6">
              <controlPr defaultSize="0" print="0" autoFill="0" autoPict="0" macro="[0]!updateSupernaturalFlawsList">
                <anchor moveWithCells="1" sizeWithCells="1">
                  <from>
                    <xdr:col>19</xdr:col>
                    <xdr:colOff>352425</xdr:colOff>
                    <xdr:row>4</xdr:row>
                    <xdr:rowOff>38100</xdr:rowOff>
                  </from>
                  <to>
                    <xdr:col>21</xdr:col>
                    <xdr:colOff>133350</xdr:colOff>
                    <xdr:row>7</xdr:row>
                    <xdr:rowOff>76200</xdr:rowOff>
                  </to>
                </anchor>
              </controlPr>
            </control>
          </mc:Choice>
        </mc:AlternateContent>
        <mc:AlternateContent xmlns:mc="http://schemas.openxmlformats.org/markup-compatibility/2006">
          <mc:Choice Requires="x14">
            <control shapeId="60423" r:id="rId7" name="Button 7">
              <controlPr defaultSize="0" print="0" autoFill="0" autoPict="0" macro="[0]!updateMundaneAssetsList">
                <anchor moveWithCells="1" sizeWithCells="1">
                  <from>
                    <xdr:col>0</xdr:col>
                    <xdr:colOff>114300</xdr:colOff>
                    <xdr:row>4</xdr:row>
                    <xdr:rowOff>85725</xdr:rowOff>
                  </from>
                  <to>
                    <xdr:col>0</xdr:col>
                    <xdr:colOff>1190625</xdr:colOff>
                    <xdr:row>7</xdr:row>
                    <xdr:rowOff>123825</xdr:rowOff>
                  </to>
                </anchor>
              </controlPr>
            </control>
          </mc:Choice>
        </mc:AlternateContent>
        <mc:AlternateContent xmlns:mc="http://schemas.openxmlformats.org/markup-compatibility/2006">
          <mc:Choice Requires="x14">
            <control shapeId="60424" r:id="rId8" name="Button 8">
              <controlPr defaultSize="0" print="0" autoFill="0" autoPict="0" macro="[0]!updateMundaneFlawsList">
                <anchor moveWithCells="1" sizeWithCells="1">
                  <from>
                    <xdr:col>4</xdr:col>
                    <xdr:colOff>66675</xdr:colOff>
                    <xdr:row>4</xdr:row>
                    <xdr:rowOff>95250</xdr:rowOff>
                  </from>
                  <to>
                    <xdr:col>4</xdr:col>
                    <xdr:colOff>1143000</xdr:colOff>
                    <xdr:row>7</xdr:row>
                    <xdr:rowOff>133350</xdr:rowOff>
                  </to>
                </anchor>
              </controlPr>
            </control>
          </mc:Choice>
        </mc:AlternateContent>
        <mc:AlternateContent xmlns:mc="http://schemas.openxmlformats.org/markup-compatibility/2006">
          <mc:Choice Requires="x14">
            <control shapeId="60425" r:id="rId9" name="Button 9">
              <controlPr defaultSize="0" print="0" autoFill="0" autoPict="0" macro="[0]!updateCombatAssetsList">
                <anchor moveWithCells="1" sizeWithCells="1">
                  <from>
                    <xdr:col>7</xdr:col>
                    <xdr:colOff>352425</xdr:colOff>
                    <xdr:row>4</xdr:row>
                    <xdr:rowOff>47625</xdr:rowOff>
                  </from>
                  <to>
                    <xdr:col>9</xdr:col>
                    <xdr:colOff>133350</xdr:colOff>
                    <xdr:row>7</xdr:row>
                    <xdr:rowOff>85725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40"/>
  <sheetViews>
    <sheetView view="pageLayout" zoomScaleNormal="100" workbookViewId="0">
      <selection activeCell="D18" sqref="D18"/>
    </sheetView>
  </sheetViews>
  <sheetFormatPr defaultRowHeight="18.75"/>
  <cols>
    <col min="1" max="1" width="32.28515625" style="1" customWidth="1"/>
    <col min="2" max="2" width="7.7109375" style="1" customWidth="1"/>
    <col min="3" max="3" width="1.42578125" style="1" customWidth="1"/>
    <col min="4" max="4" width="16.140625" style="1" customWidth="1"/>
    <col min="5" max="5" width="5.28515625" style="1" customWidth="1"/>
    <col min="6" max="6" width="14.42578125" style="1" customWidth="1"/>
    <col min="7" max="7" width="17.140625" style="1" customWidth="1"/>
    <col min="8" max="16384" width="9.140625" style="1"/>
  </cols>
  <sheetData>
    <row r="1" spans="1:7">
      <c r="A1" s="204" t="s">
        <v>34</v>
      </c>
      <c r="B1" s="204"/>
      <c r="C1" s="204"/>
    </row>
    <row r="2" spans="1:7" ht="19.5" thickBot="1">
      <c r="D2" s="2"/>
      <c r="E2" s="2"/>
      <c r="F2" s="2"/>
      <c r="G2" s="2"/>
    </row>
    <row r="3" spans="1:7">
      <c r="A3" s="3" t="s">
        <v>0</v>
      </c>
      <c r="B3" s="15"/>
      <c r="D3" s="10" t="s">
        <v>37</v>
      </c>
      <c r="E3" s="21"/>
      <c r="F3" s="10" t="s">
        <v>35</v>
      </c>
      <c r="G3" s="20"/>
    </row>
    <row r="4" spans="1:7">
      <c r="A4" s="4" t="s">
        <v>1</v>
      </c>
      <c r="B4" s="16"/>
      <c r="D4" s="205" t="s">
        <v>38</v>
      </c>
      <c r="E4" s="206"/>
      <c r="F4" s="205" t="s">
        <v>36</v>
      </c>
      <c r="G4" s="206"/>
    </row>
    <row r="5" spans="1:7">
      <c r="A5" s="4" t="s">
        <v>2</v>
      </c>
      <c r="B5" s="16"/>
      <c r="D5" s="11"/>
      <c r="E5" s="12"/>
      <c r="F5" s="11"/>
      <c r="G5" s="12"/>
    </row>
    <row r="6" spans="1:7">
      <c r="A6" s="5" t="s">
        <v>3</v>
      </c>
      <c r="B6" s="17"/>
      <c r="D6" s="13"/>
      <c r="E6" s="8"/>
      <c r="F6" s="13"/>
      <c r="G6" s="8"/>
    </row>
    <row r="7" spans="1:7">
      <c r="A7" s="5" t="s">
        <v>4</v>
      </c>
      <c r="B7" s="17"/>
      <c r="D7" s="13"/>
      <c r="E7" s="8"/>
      <c r="F7" s="13"/>
      <c r="G7" s="8"/>
    </row>
    <row r="8" spans="1:7">
      <c r="A8" s="6" t="s">
        <v>5</v>
      </c>
      <c r="B8" s="18"/>
      <c r="C8" s="54"/>
      <c r="D8" s="13"/>
      <c r="E8" s="8"/>
      <c r="F8" s="13"/>
      <c r="G8" s="8"/>
    </row>
    <row r="9" spans="1:7" ht="19.5" thickBot="1">
      <c r="A9" s="4" t="s">
        <v>6</v>
      </c>
      <c r="B9" s="16"/>
      <c r="C9" s="54"/>
      <c r="D9" s="14"/>
      <c r="E9" s="9"/>
      <c r="F9" s="14"/>
      <c r="G9" s="9"/>
    </row>
    <row r="10" spans="1:7">
      <c r="A10" s="4" t="s">
        <v>7</v>
      </c>
      <c r="B10" s="16"/>
      <c r="C10" s="54"/>
    </row>
    <row r="11" spans="1:7" ht="19.5" thickBot="1">
      <c r="A11" s="7" t="s">
        <v>8</v>
      </c>
      <c r="B11" s="19"/>
      <c r="C11" s="54"/>
      <c r="D11" s="2"/>
      <c r="E11" s="2"/>
      <c r="F11" s="2"/>
      <c r="G11" s="2"/>
    </row>
    <row r="13" spans="1:7" ht="20.25">
      <c r="A13" s="203" t="s">
        <v>24</v>
      </c>
      <c r="B13" s="203"/>
      <c r="C13" s="203"/>
      <c r="D13" s="203" t="s">
        <v>29</v>
      </c>
      <c r="E13" s="203"/>
      <c r="F13" s="203"/>
      <c r="G13" s="203"/>
    </row>
    <row r="14" spans="1:7">
      <c r="A14" s="194"/>
      <c r="B14" s="194"/>
    </row>
    <row r="15" spans="1:7">
      <c r="A15" s="195"/>
      <c r="B15" s="195"/>
      <c r="C15" s="53"/>
      <c r="D15" s="52"/>
      <c r="E15" s="52"/>
      <c r="F15" s="53"/>
      <c r="G15" s="52"/>
    </row>
    <row r="16" spans="1:7">
      <c r="A16" s="195"/>
      <c r="B16" s="195"/>
      <c r="C16" s="53"/>
      <c r="D16" s="88"/>
      <c r="E16" s="52"/>
      <c r="F16" s="53"/>
      <c r="G16" s="52"/>
    </row>
    <row r="17" spans="1:7">
      <c r="A17" s="195"/>
      <c r="B17" s="195"/>
      <c r="C17" s="53"/>
      <c r="D17" s="52"/>
      <c r="E17" s="51"/>
      <c r="F17" s="50"/>
      <c r="G17" s="51"/>
    </row>
    <row r="18" spans="1:7">
      <c r="A18" s="196"/>
      <c r="B18" s="196"/>
      <c r="C18" s="53"/>
      <c r="D18" s="52"/>
      <c r="E18" s="51"/>
      <c r="F18" s="50"/>
      <c r="G18" s="51"/>
    </row>
    <row r="19" spans="1:7">
      <c r="A19" s="196"/>
      <c r="B19" s="196"/>
      <c r="C19" s="53"/>
      <c r="D19" s="52"/>
      <c r="E19" s="51"/>
      <c r="F19" s="50"/>
      <c r="G19" s="51"/>
    </row>
    <row r="20" spans="1:7">
      <c r="A20" s="196"/>
      <c r="B20" s="196"/>
      <c r="C20" s="53"/>
      <c r="D20" s="52"/>
      <c r="E20" s="51"/>
      <c r="F20" s="50"/>
      <c r="G20" s="51"/>
    </row>
    <row r="21" spans="1:7">
      <c r="A21" s="196"/>
      <c r="B21" s="196"/>
      <c r="C21" s="53"/>
      <c r="D21" s="52"/>
      <c r="E21" s="51"/>
      <c r="F21" s="50"/>
      <c r="G21" s="51"/>
    </row>
    <row r="22" spans="1:7">
      <c r="A22" s="196"/>
      <c r="B22" s="196"/>
      <c r="C22" s="53"/>
      <c r="D22" s="52"/>
      <c r="E22" s="51"/>
      <c r="F22" s="50"/>
      <c r="G22" s="51"/>
    </row>
    <row r="23" spans="1:7">
      <c r="A23" s="196"/>
      <c r="B23" s="196"/>
      <c r="C23" s="53"/>
      <c r="D23" s="52"/>
      <c r="E23" s="51"/>
      <c r="F23" s="50"/>
      <c r="G23" s="51"/>
    </row>
    <row r="24" spans="1:7">
      <c r="A24" s="196"/>
      <c r="B24" s="196"/>
      <c r="C24" s="53"/>
      <c r="D24" s="52"/>
      <c r="E24" s="51"/>
      <c r="F24" s="50"/>
      <c r="G24" s="51"/>
    </row>
    <row r="25" spans="1:7">
      <c r="A25" s="194"/>
      <c r="B25" s="194"/>
      <c r="C25" s="50"/>
      <c r="D25" s="51"/>
      <c r="E25" s="51"/>
      <c r="F25" s="50"/>
      <c r="G25" s="51"/>
    </row>
    <row r="26" spans="1:7">
      <c r="A26" s="194"/>
      <c r="B26" s="194"/>
      <c r="C26" s="50"/>
      <c r="D26" s="51"/>
      <c r="E26" s="51"/>
      <c r="F26" s="50"/>
      <c r="G26" s="51"/>
    </row>
    <row r="27" spans="1:7">
      <c r="A27" s="194"/>
      <c r="B27" s="194"/>
      <c r="C27" s="50"/>
      <c r="D27" s="51"/>
      <c r="E27" s="51"/>
      <c r="F27" s="50"/>
      <c r="G27" s="51"/>
    </row>
    <row r="28" spans="1:7">
      <c r="A28" s="194"/>
      <c r="B28" s="194"/>
      <c r="C28" s="50"/>
      <c r="D28" s="51"/>
      <c r="E28" s="51"/>
      <c r="F28" s="50"/>
      <c r="G28" s="51"/>
    </row>
    <row r="29" spans="1:7">
      <c r="A29" s="194"/>
      <c r="B29" s="194"/>
      <c r="C29" s="50"/>
      <c r="D29" s="51"/>
      <c r="E29" s="51"/>
      <c r="F29" s="50"/>
      <c r="G29" s="51"/>
    </row>
    <row r="30" spans="1:7">
      <c r="A30" s="194"/>
      <c r="B30" s="194"/>
      <c r="C30" s="50"/>
      <c r="D30" s="51"/>
      <c r="E30" s="51"/>
      <c r="F30" s="50"/>
      <c r="G30" s="51"/>
    </row>
    <row r="31" spans="1:7">
      <c r="A31" s="194"/>
      <c r="B31" s="194"/>
      <c r="C31" s="50"/>
      <c r="D31" s="51"/>
      <c r="E31" s="51"/>
      <c r="F31" s="50"/>
      <c r="G31" s="51"/>
    </row>
    <row r="32" spans="1:7">
      <c r="A32" s="194"/>
      <c r="B32" s="194"/>
      <c r="C32" s="50"/>
      <c r="D32" s="51"/>
      <c r="E32" s="51"/>
      <c r="F32" s="50"/>
      <c r="G32" s="51"/>
    </row>
    <row r="33" spans="1:7">
      <c r="A33" s="194"/>
      <c r="B33" s="194"/>
      <c r="C33" s="50"/>
      <c r="D33" s="51"/>
      <c r="E33" s="51"/>
      <c r="F33" s="50"/>
      <c r="G33" s="51"/>
    </row>
    <row r="34" spans="1:7">
      <c r="A34" s="194"/>
      <c r="B34" s="194"/>
      <c r="C34" s="50"/>
      <c r="D34" s="51"/>
      <c r="E34" s="51"/>
      <c r="F34" s="50"/>
      <c r="G34" s="51"/>
    </row>
    <row r="35" spans="1:7">
      <c r="A35" s="194"/>
      <c r="B35" s="194"/>
      <c r="C35" s="50"/>
      <c r="D35" s="51"/>
      <c r="E35" s="51"/>
      <c r="F35" s="50"/>
      <c r="G35" s="51"/>
    </row>
    <row r="36" spans="1:7">
      <c r="A36" s="194"/>
      <c r="B36" s="194"/>
      <c r="C36" s="50"/>
      <c r="D36" s="51"/>
      <c r="E36" s="51"/>
      <c r="F36" s="50"/>
      <c r="G36" s="51"/>
    </row>
    <row r="37" spans="1:7">
      <c r="A37" s="194"/>
      <c r="B37" s="194"/>
      <c r="C37" s="50"/>
      <c r="D37" s="51"/>
      <c r="E37" s="51"/>
      <c r="F37" s="50"/>
      <c r="G37" s="51"/>
    </row>
    <row r="38" spans="1:7">
      <c r="A38" s="194"/>
      <c r="B38" s="194"/>
      <c r="C38" s="50"/>
      <c r="D38" s="51"/>
      <c r="E38" s="51"/>
      <c r="F38" s="50"/>
      <c r="G38" s="51"/>
    </row>
    <row r="39" spans="1:7">
      <c r="A39" s="194"/>
      <c r="B39" s="194"/>
    </row>
    <row r="40" spans="1:7">
      <c r="A40" s="194"/>
      <c r="B40" s="194"/>
    </row>
  </sheetData>
  <mergeCells count="5">
    <mergeCell ref="A13:C13"/>
    <mergeCell ref="D13:G13"/>
    <mergeCell ref="A1:C1"/>
    <mergeCell ref="D4:E4"/>
    <mergeCell ref="F4:G4"/>
  </mergeCells>
  <dataValidations disablePrompts="1" count="1">
    <dataValidation type="whole" errorStyle="information" allowBlank="1" showErrorMessage="1" errorTitle="Stats:" error="A character must have at least 1 in a stat (with a few exceptions, such as mindless zombies - but who wants to play one of those?). " sqref="B3:B11">
      <formula1>1</formula1>
      <formula2>5</formula2>
    </dataValidation>
  </dataValidations>
  <pageMargins left="0.35416666666666669" right="0.41666666666666669" top="0.75" bottom="0.75" header="0.3" footer="0.3"/>
  <pageSetup paperSize="9" orientation="portrait" r:id="rId1"/>
  <headerFooter>
    <oddHeader>&amp;C&amp;"Adobe Arabic,Regular"&amp;20Name</oddHead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autoPageBreaks="0"/>
  </sheetPr>
  <dimension ref="A1:R99"/>
  <sheetViews>
    <sheetView showGridLines="0" tabSelected="1" topLeftCell="A22" zoomScale="85" zoomScaleNormal="85" workbookViewId="0">
      <selection activeCell="F16" sqref="F16"/>
    </sheetView>
  </sheetViews>
  <sheetFormatPr defaultRowHeight="15"/>
  <cols>
    <col min="1" max="1" width="9.140625" style="22"/>
    <col min="2" max="2" width="21" style="22" customWidth="1"/>
    <col min="3" max="3" width="17" style="22" customWidth="1"/>
    <col min="4" max="4" width="27.140625" style="22" bestFit="1" customWidth="1"/>
    <col min="5" max="5" width="8" style="22" bestFit="1" customWidth="1"/>
    <col min="6" max="6" width="7.85546875" style="22" customWidth="1"/>
    <col min="7" max="7" width="45.140625" style="22" customWidth="1"/>
    <col min="8" max="8" width="6.85546875" style="22" customWidth="1"/>
    <col min="9" max="9" width="18.5703125" style="22" bestFit="1" customWidth="1"/>
    <col min="10" max="10" width="30" style="22" customWidth="1"/>
    <col min="11" max="11" width="9.42578125" style="22" customWidth="1"/>
    <col min="12" max="12" width="8.85546875" style="22" customWidth="1"/>
    <col min="13" max="13" width="22.7109375" style="22" customWidth="1"/>
    <col min="14" max="14" width="6.5703125" style="22" customWidth="1"/>
    <col min="15" max="15" width="18.28515625" style="22" bestFit="1" customWidth="1"/>
    <col min="16" max="16384" width="9.140625" style="22"/>
  </cols>
  <sheetData>
    <row r="1" spans="1:18" ht="15.75" thickBot="1">
      <c r="A1" s="41"/>
      <c r="B1" s="41"/>
      <c r="C1" s="41"/>
      <c r="D1" s="41"/>
      <c r="E1" s="41"/>
      <c r="F1" s="41"/>
      <c r="G1" s="41"/>
      <c r="H1" s="41"/>
      <c r="I1" s="41"/>
      <c r="J1" s="41"/>
      <c r="K1" s="41"/>
      <c r="L1" s="41"/>
    </row>
    <row r="2" spans="1:18" ht="27" thickBot="1">
      <c r="A2" s="207" t="s">
        <v>240</v>
      </c>
      <c r="B2" s="208"/>
      <c r="C2" s="208"/>
      <c r="D2" s="208"/>
      <c r="E2" s="208"/>
      <c r="F2" s="208"/>
      <c r="G2" s="208"/>
      <c r="H2" s="208"/>
      <c r="I2" s="208"/>
      <c r="J2" s="208"/>
      <c r="K2" s="208"/>
      <c r="L2" s="209"/>
      <c r="M2" s="82"/>
    </row>
    <row r="3" spans="1:18" ht="23.25" customHeight="1">
      <c r="A3" s="28"/>
      <c r="B3" s="156" t="s">
        <v>129</v>
      </c>
      <c r="C3" s="213"/>
      <c r="D3" s="214"/>
      <c r="E3" s="214"/>
      <c r="F3" s="215"/>
      <c r="G3" s="23"/>
      <c r="H3" s="23"/>
      <c r="I3" s="23"/>
      <c r="J3" s="23"/>
      <c r="K3" s="23"/>
      <c r="L3" s="24"/>
      <c r="M3" s="23"/>
    </row>
    <row r="4" spans="1:18" ht="18.75">
      <c r="A4" s="28"/>
      <c r="B4" s="157" t="s">
        <v>130</v>
      </c>
      <c r="C4" s="216" t="str">
        <f>IF(C5="","",(C5-10)/10)</f>
        <v/>
      </c>
      <c r="D4" s="216"/>
      <c r="E4" s="216"/>
      <c r="F4" s="217"/>
      <c r="G4" s="23"/>
      <c r="H4" s="23"/>
      <c r="I4" s="23"/>
      <c r="J4" s="23"/>
      <c r="K4" s="23"/>
      <c r="L4" s="24"/>
      <c r="M4" s="23"/>
    </row>
    <row r="5" spans="1:18" ht="19.5" thickBot="1">
      <c r="A5" s="28"/>
      <c r="B5" s="158" t="s">
        <v>131</v>
      </c>
      <c r="C5" s="218" t="str">
        <f>IF(COUNTBLANK(C10:C18)&lt;&gt;9,SUM(StatPointsSpent, SkillPointsSpent)+SUM(J49:J53),"")</f>
        <v/>
      </c>
      <c r="D5" s="218"/>
      <c r="E5" s="218"/>
      <c r="F5" s="219"/>
      <c r="G5" s="23"/>
      <c r="H5" s="23"/>
      <c r="I5" s="23"/>
      <c r="J5" s="23"/>
      <c r="K5" s="23"/>
      <c r="L5" s="24"/>
      <c r="M5" s="23"/>
    </row>
    <row r="6" spans="1:18" ht="19.5" thickBot="1">
      <c r="A6" s="65"/>
      <c r="B6" s="155"/>
      <c r="C6" s="25"/>
      <c r="D6" s="25"/>
      <c r="E6" s="25"/>
      <c r="F6" s="25"/>
      <c r="G6" s="25"/>
      <c r="H6" s="25"/>
      <c r="I6" s="25"/>
      <c r="J6" s="25"/>
      <c r="K6" s="25"/>
      <c r="L6" s="26"/>
      <c r="M6" s="23"/>
    </row>
    <row r="7" spans="1:18" ht="19.5" thickBot="1">
      <c r="B7" s="27"/>
      <c r="C7" s="23"/>
      <c r="D7" s="23"/>
      <c r="E7" s="23"/>
      <c r="F7" s="23"/>
      <c r="G7" s="23"/>
      <c r="H7" s="23"/>
      <c r="I7" s="23"/>
      <c r="J7" s="23"/>
      <c r="K7" s="23"/>
      <c r="L7" s="23"/>
      <c r="M7" s="23"/>
    </row>
    <row r="8" spans="1:18" ht="25.5">
      <c r="A8" s="210" t="s">
        <v>241</v>
      </c>
      <c r="B8" s="211"/>
      <c r="C8" s="211"/>
      <c r="D8" s="211"/>
      <c r="E8" s="211"/>
      <c r="F8" s="211"/>
      <c r="G8" s="211"/>
      <c r="H8" s="211"/>
      <c r="I8" s="211"/>
      <c r="J8" s="211"/>
      <c r="K8" s="211"/>
      <c r="L8" s="212"/>
      <c r="M8" s="82"/>
    </row>
    <row r="9" spans="1:18" ht="19.5" thickBot="1">
      <c r="A9" s="28"/>
      <c r="B9" s="23"/>
      <c r="C9" s="29" t="s">
        <v>25</v>
      </c>
      <c r="D9" s="29" t="s">
        <v>26</v>
      </c>
      <c r="E9" s="23"/>
      <c r="F9" s="23"/>
      <c r="G9" s="23"/>
      <c r="H9" s="23"/>
      <c r="I9" s="23"/>
      <c r="J9" s="23"/>
      <c r="K9" s="23"/>
      <c r="L9" s="30"/>
      <c r="M9" s="23"/>
    </row>
    <row r="10" spans="1:18" ht="18.75">
      <c r="A10" s="115"/>
      <c r="B10" s="182" t="s">
        <v>0</v>
      </c>
      <c r="C10" s="183"/>
      <c r="D10" s="31">
        <f>IF(C10&lt;&gt;"",VLOOKUP(C10,'Back End'!$A$1:$B$6,2,FALSE),0)</f>
        <v>0</v>
      </c>
      <c r="E10" s="23"/>
      <c r="F10" s="23"/>
      <c r="G10" s="32" t="s">
        <v>133</v>
      </c>
      <c r="H10" s="55" t="str">
        <f>IF(COUNTBLANK(C10:C18)&lt;&gt;9,C15+C18,"")</f>
        <v/>
      </c>
      <c r="I10" s="23"/>
      <c r="J10" s="23"/>
      <c r="K10" s="23"/>
      <c r="L10" s="30"/>
      <c r="M10" s="23"/>
    </row>
    <row r="11" spans="1:18" ht="18.75">
      <c r="A11" s="115"/>
      <c r="B11" s="184" t="s">
        <v>1</v>
      </c>
      <c r="C11" s="185"/>
      <c r="D11" s="33">
        <f>IF(C11&lt;&gt;"",VLOOKUP(C11,'Back End'!$A$1:$B$6,2,FALSE),0)</f>
        <v>0</v>
      </c>
      <c r="E11" s="23"/>
      <c r="F11" s="23"/>
      <c r="G11" s="32" t="s">
        <v>134</v>
      </c>
      <c r="H11" s="56" t="str">
        <f>IF(COUNTBLANK(C10:C18)&lt;&gt;9,C12*2+C15+C18,"")</f>
        <v/>
      </c>
      <c r="I11" s="23"/>
      <c r="J11" s="23"/>
      <c r="K11" s="23"/>
      <c r="L11" s="30"/>
      <c r="M11" s="23"/>
    </row>
    <row r="12" spans="1:18" ht="18.75">
      <c r="A12" s="115"/>
      <c r="B12" s="184" t="s">
        <v>2</v>
      </c>
      <c r="C12" s="185"/>
      <c r="D12" s="33">
        <f>IF(C12&lt;&gt;"",VLOOKUP(C12,'Back End'!$A$1:$B$6,2,FALSE),0)</f>
        <v>0</v>
      </c>
      <c r="E12" s="23"/>
      <c r="F12" s="23"/>
      <c r="G12" s="32" t="s">
        <v>135</v>
      </c>
      <c r="H12" s="55" t="str">
        <f>IF(COUNTBLANK(C10:C18)&lt;&gt;9,C17+C11,"")</f>
        <v/>
      </c>
      <c r="I12" s="23"/>
      <c r="J12" s="23"/>
      <c r="K12" s="23"/>
      <c r="L12" s="30"/>
      <c r="M12" s="23"/>
    </row>
    <row r="13" spans="1:18" ht="18.75">
      <c r="A13" s="115"/>
      <c r="B13" s="186" t="s">
        <v>3</v>
      </c>
      <c r="C13" s="185"/>
      <c r="D13" s="34">
        <f>IF(C13&lt;&gt;"",VLOOKUP(C13,'Back End'!$A$1:$B$6,2,FALSE),0)</f>
        <v>0</v>
      </c>
      <c r="E13" s="23"/>
      <c r="F13" s="23"/>
      <c r="G13" s="32"/>
      <c r="H13" s="56"/>
      <c r="I13" s="23"/>
      <c r="J13" s="23"/>
      <c r="K13" s="23"/>
      <c r="L13" s="30"/>
      <c r="M13" s="23"/>
    </row>
    <row r="14" spans="1:18" ht="18.75">
      <c r="A14" s="115"/>
      <c r="B14" s="186" t="s">
        <v>4</v>
      </c>
      <c r="C14" s="185"/>
      <c r="D14" s="34">
        <f>IF(C14&lt;&gt;"",VLOOKUP(C14,'Back End'!$A$1:$B$6,2,FALSE),0)</f>
        <v>0</v>
      </c>
      <c r="E14" s="23"/>
      <c r="F14" s="23"/>
      <c r="G14" s="44" t="s">
        <v>136</v>
      </c>
      <c r="H14" s="56"/>
      <c r="I14" s="23"/>
      <c r="J14" s="23"/>
      <c r="K14" s="23"/>
      <c r="L14" s="30"/>
      <c r="M14" s="23"/>
    </row>
    <row r="15" spans="1:18" ht="18.75">
      <c r="A15" s="115"/>
      <c r="B15" s="187" t="s">
        <v>5</v>
      </c>
      <c r="C15" s="185"/>
      <c r="D15" s="34">
        <f>IF(C15&lt;&gt;"",VLOOKUP(C15,'Back End'!$A$1:$B$6,2,FALSE),0)</f>
        <v>0</v>
      </c>
      <c r="E15" s="23"/>
      <c r="F15" s="23"/>
      <c r="G15" s="32" t="s">
        <v>137</v>
      </c>
      <c r="H15" s="55" t="str">
        <f>IF(COUNTBLANK($C$10:$C$18)&lt;&gt;9,C17+C11,"")</f>
        <v/>
      </c>
      <c r="I15" s="23"/>
      <c r="J15" s="23"/>
      <c r="K15" s="23"/>
      <c r="L15" s="30"/>
      <c r="M15" s="23"/>
      <c r="P15" s="35"/>
      <c r="Q15" s="35"/>
      <c r="R15" s="35"/>
    </row>
    <row r="16" spans="1:18" ht="18.75">
      <c r="A16" s="115"/>
      <c r="B16" s="184" t="s">
        <v>6</v>
      </c>
      <c r="C16" s="185"/>
      <c r="D16" s="33">
        <f>IF(C16&lt;&gt;"",VLOOKUP(C16,'Back End'!$A$1:$B$6,2,FALSE),0)</f>
        <v>0</v>
      </c>
      <c r="E16" s="23"/>
      <c r="F16" s="23"/>
      <c r="G16" s="32" t="s">
        <v>138</v>
      </c>
      <c r="H16" s="55" t="str">
        <f>IF(COUNTBLANK($C$10:$C$18)&lt;&gt;9,C12*2,"")</f>
        <v/>
      </c>
      <c r="I16" s="23"/>
      <c r="J16" s="23"/>
      <c r="K16" s="23"/>
      <c r="L16" s="30"/>
      <c r="M16" s="23"/>
      <c r="P16" s="35"/>
      <c r="Q16" s="35"/>
      <c r="R16" s="35"/>
    </row>
    <row r="17" spans="1:18" ht="18.75">
      <c r="A17" s="115"/>
      <c r="B17" s="184" t="s">
        <v>7</v>
      </c>
      <c r="C17" s="185"/>
      <c r="D17" s="33">
        <f>IF(C17&lt;&gt;"",VLOOKUP(C17,'Back End'!$A$1:$B$6,2,FALSE),0)</f>
        <v>0</v>
      </c>
      <c r="E17" s="36"/>
      <c r="F17" s="37"/>
      <c r="G17" s="32" t="s">
        <v>139</v>
      </c>
      <c r="H17" s="55" t="str">
        <f>IF(COUNTBLANK($C$10:$C$18)&lt;&gt;9,C12+C18,"")</f>
        <v/>
      </c>
      <c r="I17" s="23"/>
      <c r="J17" s="23"/>
      <c r="K17" s="23"/>
      <c r="L17" s="30"/>
      <c r="M17" s="23"/>
      <c r="P17" s="35"/>
      <c r="Q17" s="35"/>
      <c r="R17" s="35"/>
    </row>
    <row r="18" spans="1:18" ht="19.5" thickBot="1">
      <c r="A18" s="115"/>
      <c r="B18" s="188" t="s">
        <v>8</v>
      </c>
      <c r="C18" s="189"/>
      <c r="D18" s="38">
        <f>IF(C18&lt;&gt;"",VLOOKUP(C18,'Back End'!$A$1:$B$6,2,FALSE),0)</f>
        <v>0</v>
      </c>
      <c r="E18" s="36"/>
      <c r="F18" s="37"/>
      <c r="G18" s="23"/>
      <c r="H18" s="23"/>
      <c r="I18" s="23"/>
      <c r="J18" s="23"/>
      <c r="K18" s="23"/>
      <c r="L18" s="30"/>
      <c r="M18" s="23"/>
      <c r="P18" s="35"/>
      <c r="Q18" s="35"/>
      <c r="R18" s="35"/>
    </row>
    <row r="19" spans="1:18" ht="19.5" thickBot="1">
      <c r="A19" s="65"/>
      <c r="B19" s="114"/>
      <c r="C19" s="39"/>
      <c r="D19" s="40"/>
      <c r="E19" s="39"/>
      <c r="F19" s="40"/>
      <c r="G19" s="41"/>
      <c r="H19" s="41"/>
      <c r="I19" s="41"/>
      <c r="J19" s="41"/>
      <c r="K19" s="41"/>
      <c r="L19" s="42"/>
      <c r="M19" s="23"/>
      <c r="P19" s="35"/>
      <c r="Q19" s="35"/>
      <c r="R19" s="35"/>
    </row>
    <row r="20" spans="1:18" ht="19.5" thickBot="1">
      <c r="B20" s="43"/>
      <c r="C20" s="36"/>
      <c r="D20" s="37"/>
      <c r="E20" s="36"/>
      <c r="F20" s="37"/>
      <c r="N20" s="98"/>
      <c r="O20" s="98"/>
      <c r="P20" s="83"/>
      <c r="Q20" s="83"/>
      <c r="R20" s="35"/>
    </row>
    <row r="21" spans="1:18" ht="25.5">
      <c r="A21" s="113"/>
      <c r="B21" s="211" t="s">
        <v>132</v>
      </c>
      <c r="C21" s="211"/>
      <c r="D21" s="211"/>
      <c r="E21" s="211"/>
      <c r="F21" s="211"/>
      <c r="G21" s="211"/>
      <c r="H21" s="211"/>
      <c r="I21" s="211"/>
      <c r="J21" s="211"/>
      <c r="K21" s="211"/>
      <c r="L21" s="212"/>
      <c r="M21" s="95"/>
      <c r="N21" s="99"/>
      <c r="O21" s="99"/>
      <c r="P21" s="96"/>
      <c r="Q21" s="96"/>
      <c r="R21" s="35"/>
    </row>
    <row r="22" spans="1:18" ht="37.5">
      <c r="A22" s="115"/>
      <c r="B22" s="108" t="s">
        <v>107</v>
      </c>
      <c r="C22" s="101" t="s">
        <v>109</v>
      </c>
      <c r="D22" s="102" t="s">
        <v>24</v>
      </c>
      <c r="E22" s="102" t="s">
        <v>28</v>
      </c>
      <c r="F22" s="102" t="s">
        <v>26</v>
      </c>
      <c r="G22" s="103" t="s">
        <v>142</v>
      </c>
      <c r="H22" s="104"/>
      <c r="I22" s="96"/>
      <c r="J22" s="96"/>
      <c r="K22" s="83"/>
      <c r="L22" s="105"/>
      <c r="M22" s="92"/>
      <c r="N22" s="96"/>
      <c r="O22" s="100" t="s">
        <v>141</v>
      </c>
      <c r="P22" s="96"/>
      <c r="Q22" s="96"/>
      <c r="R22" s="35"/>
    </row>
    <row r="23" spans="1:18" ht="18.75">
      <c r="A23" s="115"/>
      <c r="B23" s="109"/>
      <c r="C23" s="46"/>
      <c r="D23" s="48" t="s">
        <v>15</v>
      </c>
      <c r="E23" s="181"/>
      <c r="F23" s="57" t="str">
        <f>IF(E23&lt;&gt;"",VLOOKUP(E23,'Back End'!$C$2:$D$6,2,FALSE),"")</f>
        <v/>
      </c>
      <c r="G23" s="103"/>
      <c r="H23" s="104">
        <v>0</v>
      </c>
      <c r="I23" s="96"/>
      <c r="J23" s="96"/>
      <c r="K23" s="83"/>
      <c r="L23" s="105"/>
      <c r="M23" s="92"/>
      <c r="N23" s="96"/>
      <c r="O23" s="100"/>
      <c r="P23" s="96"/>
      <c r="Q23" s="96"/>
      <c r="R23" s="35"/>
    </row>
    <row r="24" spans="1:18" ht="18.75">
      <c r="A24" s="115"/>
      <c r="B24" s="109"/>
      <c r="C24" s="46"/>
      <c r="D24" s="48" t="s">
        <v>17</v>
      </c>
      <c r="E24" s="181"/>
      <c r="F24" s="57" t="str">
        <f>IF(E24&lt;&gt;"",VLOOKUP(E24,'Back End'!$C$2:$D$6,2,FALSE),"")</f>
        <v/>
      </c>
      <c r="G24" s="106" t="s">
        <v>108</v>
      </c>
      <c r="H24" s="107">
        <v>0</v>
      </c>
      <c r="I24" s="96"/>
      <c r="J24" s="96"/>
      <c r="K24" s="83"/>
      <c r="L24" s="105"/>
      <c r="M24" s="96"/>
      <c r="N24" s="96"/>
      <c r="P24" s="96"/>
      <c r="Q24" s="96"/>
      <c r="R24" s="35"/>
    </row>
    <row r="25" spans="1:18" ht="18.75">
      <c r="A25" s="115"/>
      <c r="B25" s="109"/>
      <c r="C25" s="46"/>
      <c r="D25" s="48" t="s">
        <v>22</v>
      </c>
      <c r="E25" s="181"/>
      <c r="F25" s="57" t="str">
        <f>IF(E25&lt;&gt;"",VLOOKUP(E25,'Back End'!$C$2:$D$6,2,FALSE),"")</f>
        <v/>
      </c>
      <c r="G25" s="106" t="s">
        <v>110</v>
      </c>
      <c r="H25" s="107">
        <v>1</v>
      </c>
      <c r="I25" s="96"/>
      <c r="J25" s="96"/>
      <c r="K25" s="83"/>
      <c r="L25" s="105"/>
      <c r="M25" s="96"/>
      <c r="N25" s="96"/>
      <c r="P25" s="96"/>
      <c r="Q25" s="96"/>
      <c r="R25" s="35"/>
    </row>
    <row r="26" spans="1:18" ht="18.75">
      <c r="A26" s="115"/>
      <c r="B26" s="110"/>
      <c r="C26" s="47"/>
      <c r="D26" s="49" t="s">
        <v>9</v>
      </c>
      <c r="E26" s="181"/>
      <c r="F26" s="58" t="str">
        <f>IF(E26&lt;&gt;"",VLOOKUP(E26,'Back End'!$C$2:$D$6,2,FALSE),"")</f>
        <v/>
      </c>
      <c r="G26" s="106" t="s">
        <v>116</v>
      </c>
      <c r="H26" s="107">
        <v>0</v>
      </c>
      <c r="I26" s="96"/>
      <c r="J26" s="96"/>
      <c r="K26" s="83"/>
      <c r="L26" s="105"/>
      <c r="M26" s="96"/>
      <c r="N26" s="96"/>
      <c r="P26" s="96"/>
      <c r="Q26" s="96"/>
      <c r="R26" s="35"/>
    </row>
    <row r="27" spans="1:18" ht="18.75">
      <c r="A27" s="115"/>
      <c r="B27" s="110"/>
      <c r="C27" s="47"/>
      <c r="D27" s="49" t="s">
        <v>18</v>
      </c>
      <c r="E27" s="181"/>
      <c r="F27" s="58" t="str">
        <f>IF(E27&lt;&gt;"",VLOOKUP(E27,'Back End'!$C$2:$D$6,2,FALSE),"")</f>
        <v/>
      </c>
      <c r="G27" s="106" t="s">
        <v>117</v>
      </c>
      <c r="H27" s="107">
        <v>0</v>
      </c>
      <c r="I27" s="96"/>
      <c r="J27" s="96"/>
      <c r="K27" s="83"/>
      <c r="L27" s="105"/>
      <c r="M27" s="96"/>
      <c r="N27" s="96"/>
      <c r="P27" s="96"/>
      <c r="Q27" s="96"/>
      <c r="R27" s="35"/>
    </row>
    <row r="28" spans="1:18" ht="18.75">
      <c r="A28" s="115"/>
      <c r="B28" s="110"/>
      <c r="C28" s="47"/>
      <c r="D28" s="49" t="s">
        <v>21</v>
      </c>
      <c r="E28" s="181"/>
      <c r="F28" s="58" t="str">
        <f>IF(E28&lt;&gt;"",VLOOKUP(E28,'Back End'!$C$2:$D$6,2,FALSE),"")</f>
        <v/>
      </c>
      <c r="G28" s="106" t="s">
        <v>118</v>
      </c>
      <c r="H28" s="107">
        <v>0</v>
      </c>
      <c r="I28" s="96"/>
      <c r="J28" s="96"/>
      <c r="K28" s="83"/>
      <c r="L28" s="105"/>
      <c r="M28" s="96"/>
      <c r="N28" s="96"/>
      <c r="P28" s="96"/>
      <c r="Q28" s="96"/>
      <c r="R28" s="35"/>
    </row>
    <row r="29" spans="1:18" ht="18.75">
      <c r="A29" s="115"/>
      <c r="B29" s="110"/>
      <c r="C29" s="47"/>
      <c r="D29" s="49" t="s">
        <v>12</v>
      </c>
      <c r="E29" s="181"/>
      <c r="F29" s="58" t="str">
        <f>IF(E29&lt;&gt;"",VLOOKUP(E29,'Back End'!$C$2:$D$6,2,FALSE),"")</f>
        <v/>
      </c>
      <c r="G29" s="106" t="s">
        <v>119</v>
      </c>
      <c r="H29" s="107">
        <v>0</v>
      </c>
      <c r="I29" s="96"/>
      <c r="J29" s="96"/>
      <c r="K29" s="83"/>
      <c r="L29" s="105"/>
      <c r="M29" s="96"/>
      <c r="N29" s="96"/>
      <c r="P29" s="96"/>
      <c r="Q29" s="96"/>
      <c r="R29" s="35"/>
    </row>
    <row r="30" spans="1:18" ht="18.75">
      <c r="A30" s="115"/>
      <c r="B30" s="109"/>
      <c r="C30" s="46"/>
      <c r="D30" s="48" t="s">
        <v>14</v>
      </c>
      <c r="E30" s="181"/>
      <c r="F30" s="57" t="str">
        <f>IF(E30&lt;&gt;"",VLOOKUP(E30,'Back End'!$C$2:$D$6,2,FALSE),"")</f>
        <v/>
      </c>
      <c r="G30" s="106" t="s">
        <v>120</v>
      </c>
      <c r="H30" s="107">
        <v>0</v>
      </c>
      <c r="I30" s="96"/>
      <c r="J30" s="96"/>
      <c r="K30" s="83"/>
      <c r="L30" s="105"/>
      <c r="M30" s="96"/>
      <c r="N30" s="96"/>
      <c r="P30" s="96"/>
      <c r="Q30" s="96"/>
      <c r="R30" s="35"/>
    </row>
    <row r="31" spans="1:18" ht="18.75">
      <c r="A31" s="115"/>
      <c r="B31" s="109"/>
      <c r="C31" s="46"/>
      <c r="D31" s="48" t="s">
        <v>20</v>
      </c>
      <c r="E31" s="181"/>
      <c r="F31" s="57" t="str">
        <f>IF(E31&lt;&gt;"",VLOOKUP(E31,'Back End'!$C$2:$D$6,2,FALSE),"")</f>
        <v/>
      </c>
      <c r="G31" s="106" t="s">
        <v>121</v>
      </c>
      <c r="H31" s="107">
        <v>1</v>
      </c>
      <c r="I31" s="96"/>
      <c r="J31" s="96"/>
      <c r="K31" s="83"/>
      <c r="L31" s="105"/>
      <c r="M31" s="96"/>
      <c r="N31" s="96"/>
      <c r="P31" s="96"/>
      <c r="Q31" s="96"/>
      <c r="R31" s="35"/>
    </row>
    <row r="32" spans="1:18" ht="18.75">
      <c r="A32" s="115"/>
      <c r="B32" s="109"/>
      <c r="C32" s="46"/>
      <c r="D32" s="48" t="s">
        <v>19</v>
      </c>
      <c r="E32" s="181"/>
      <c r="F32" s="57" t="str">
        <f>IF(E32&lt;&gt;"",VLOOKUP(E32,'Back End'!$C$2:$D$6,2,FALSE),"")</f>
        <v/>
      </c>
      <c r="G32" s="106" t="s">
        <v>122</v>
      </c>
      <c r="H32" s="107">
        <v>0</v>
      </c>
      <c r="I32" s="96"/>
      <c r="J32" s="96"/>
      <c r="K32" s="83"/>
      <c r="L32" s="105"/>
      <c r="M32" s="96"/>
      <c r="N32" s="96"/>
      <c r="P32" s="96"/>
      <c r="Q32" s="96"/>
      <c r="R32" s="35"/>
    </row>
    <row r="33" spans="1:18" ht="18.75">
      <c r="A33" s="115"/>
      <c r="B33" s="109"/>
      <c r="C33" s="46"/>
      <c r="D33" s="48" t="s">
        <v>10</v>
      </c>
      <c r="E33" s="181"/>
      <c r="F33" s="57" t="str">
        <f>IF(E33&lt;&gt;"",VLOOKUP(E33,'Back End'!$C$2:$D$6,2,FALSE),"")</f>
        <v/>
      </c>
      <c r="G33" s="106" t="s">
        <v>123</v>
      </c>
      <c r="H33" s="107">
        <v>0</v>
      </c>
      <c r="I33" s="96"/>
      <c r="J33" s="96"/>
      <c r="K33" s="83"/>
      <c r="L33" s="105"/>
      <c r="M33" s="96"/>
      <c r="N33" s="96"/>
      <c r="P33" s="96"/>
      <c r="Q33" s="96"/>
      <c r="R33" s="35"/>
    </row>
    <row r="34" spans="1:18" ht="18.75" customHeight="1">
      <c r="A34" s="115"/>
      <c r="B34" s="109"/>
      <c r="C34" s="46"/>
      <c r="D34" s="48" t="s">
        <v>16</v>
      </c>
      <c r="E34" s="181"/>
      <c r="F34" s="57" t="str">
        <f>IF(E34&lt;&gt;"",VLOOKUP(E34,'Back End'!$C$2:$D$6,2,FALSE),"")</f>
        <v/>
      </c>
      <c r="G34" s="106" t="s">
        <v>124</v>
      </c>
      <c r="H34" s="107">
        <v>0</v>
      </c>
      <c r="I34" s="96"/>
      <c r="J34" s="96"/>
      <c r="K34" s="83"/>
      <c r="L34" s="105"/>
      <c r="M34" s="96"/>
      <c r="N34" s="96"/>
      <c r="P34" s="96"/>
      <c r="Q34" s="96"/>
      <c r="R34" s="35"/>
    </row>
    <row r="35" spans="1:18" ht="18.75">
      <c r="A35" s="115"/>
      <c r="B35" s="110"/>
      <c r="C35" s="47"/>
      <c r="D35" s="49" t="s">
        <v>11</v>
      </c>
      <c r="E35" s="181"/>
      <c r="F35" s="58" t="str">
        <f>IF(E35&lt;&gt;"",VLOOKUP(E35,'Back End'!$C$2:$D$6,2,FALSE),"")</f>
        <v/>
      </c>
      <c r="G35" s="106" t="s">
        <v>125</v>
      </c>
      <c r="H35" s="107">
        <v>0</v>
      </c>
      <c r="I35" s="96"/>
      <c r="J35" s="96"/>
      <c r="K35" s="83"/>
      <c r="L35" s="105"/>
      <c r="M35" s="96"/>
      <c r="N35" s="96"/>
      <c r="P35" s="96"/>
      <c r="Q35" s="96"/>
      <c r="R35" s="35"/>
    </row>
    <row r="36" spans="1:18" ht="18.75">
      <c r="A36" s="115"/>
      <c r="B36" s="110"/>
      <c r="C36" s="47"/>
      <c r="D36" s="49" t="s">
        <v>13</v>
      </c>
      <c r="E36" s="181"/>
      <c r="F36" s="58" t="str">
        <f>IF(E36&lt;&gt;"",VLOOKUP(E36,'Back End'!$C$2:$D$6,2,FALSE),"")</f>
        <v/>
      </c>
      <c r="G36" s="106" t="s">
        <v>126</v>
      </c>
      <c r="H36" s="107">
        <v>0</v>
      </c>
      <c r="I36" s="96"/>
      <c r="J36" s="96"/>
      <c r="K36" s="83"/>
      <c r="L36" s="105"/>
      <c r="M36" s="96"/>
      <c r="N36" s="96"/>
      <c r="P36" s="96"/>
      <c r="Q36" s="96"/>
      <c r="R36" s="35"/>
    </row>
    <row r="37" spans="1:18" ht="18.75">
      <c r="A37" s="115"/>
      <c r="B37" s="110"/>
      <c r="C37" s="47"/>
      <c r="D37" s="49" t="s">
        <v>249</v>
      </c>
      <c r="E37" s="181"/>
      <c r="F37" s="58" t="str">
        <f>IF(E37&lt;&gt;"",VLOOKUP(E37,'Back End'!$C$2:$D$6,2,FALSE),"")</f>
        <v/>
      </c>
      <c r="G37" s="106"/>
      <c r="H37" s="107">
        <v>0</v>
      </c>
      <c r="I37" s="96"/>
      <c r="J37" s="96"/>
      <c r="K37" s="83"/>
      <c r="L37" s="105"/>
      <c r="M37" s="96"/>
      <c r="N37" s="96"/>
      <c r="P37" s="96"/>
      <c r="Q37" s="96"/>
      <c r="R37" s="35"/>
    </row>
    <row r="38" spans="1:18" ht="18.75">
      <c r="A38" s="115"/>
      <c r="B38" s="110"/>
      <c r="C38" s="47"/>
      <c r="D38" s="49" t="s">
        <v>253</v>
      </c>
      <c r="E38" s="181"/>
      <c r="F38" s="58" t="str">
        <f>IF(E38&lt;&gt;"",VLOOKUP(E38,'Back End'!$C$2:$D$6,2,FALSE),"")</f>
        <v/>
      </c>
      <c r="G38" s="106" t="s">
        <v>127</v>
      </c>
      <c r="H38" s="107">
        <v>0</v>
      </c>
      <c r="I38" s="96"/>
      <c r="J38" s="96"/>
      <c r="K38" s="83"/>
      <c r="L38" s="105"/>
      <c r="M38" s="96"/>
      <c r="N38" s="96"/>
      <c r="P38" s="96"/>
      <c r="Q38" s="96"/>
      <c r="R38" s="35"/>
    </row>
    <row r="39" spans="1:18" ht="18.75">
      <c r="A39" s="115"/>
      <c r="B39" s="110"/>
      <c r="C39" s="47"/>
      <c r="D39" s="49" t="s">
        <v>258</v>
      </c>
      <c r="E39" s="181"/>
      <c r="F39" s="58" t="str">
        <f>IF(E39&lt;&gt;"",VLOOKUP(E39,'Back End'!$C$2:$D$6,2,FALSE),"")</f>
        <v/>
      </c>
      <c r="G39" s="106"/>
      <c r="H39" s="107">
        <v>0</v>
      </c>
      <c r="I39" s="96"/>
      <c r="J39" s="96"/>
      <c r="K39" s="83"/>
      <c r="L39" s="105"/>
      <c r="M39" s="96"/>
      <c r="N39" s="96"/>
      <c r="P39" s="96"/>
      <c r="Q39" s="96"/>
      <c r="R39" s="35"/>
    </row>
    <row r="40" spans="1:18" ht="18.75">
      <c r="A40" s="115"/>
      <c r="B40" s="110"/>
      <c r="C40" s="47"/>
      <c r="D40" s="49" t="s">
        <v>259</v>
      </c>
      <c r="E40" s="181"/>
      <c r="F40" s="58" t="str">
        <f>IF(E40&lt;&gt;"",VLOOKUP(E40,'Back End'!$C$2:$D$6,2,FALSE),"")</f>
        <v/>
      </c>
      <c r="G40" s="106"/>
      <c r="H40" s="107">
        <v>0</v>
      </c>
      <c r="I40" s="96"/>
      <c r="J40" s="96"/>
      <c r="K40" s="83"/>
      <c r="L40" s="105"/>
      <c r="M40" s="96"/>
      <c r="N40" s="96"/>
      <c r="P40" s="96"/>
      <c r="Q40" s="96"/>
      <c r="R40" s="35"/>
    </row>
    <row r="41" spans="1:18" ht="18.75">
      <c r="A41" s="115"/>
      <c r="B41" s="109"/>
      <c r="C41" s="46"/>
      <c r="D41" s="48" t="s">
        <v>267</v>
      </c>
      <c r="E41" s="181"/>
      <c r="F41" s="57" t="str">
        <f>IF(E41&lt;&gt;"",VLOOKUP(E41,'Back End'!$C$2:$D$6,2,FALSE),"")</f>
        <v/>
      </c>
      <c r="G41" s="106"/>
      <c r="H41" s="107">
        <v>0</v>
      </c>
      <c r="I41" s="96"/>
      <c r="J41" s="96"/>
      <c r="K41" s="83"/>
      <c r="L41" s="105"/>
      <c r="M41" s="96"/>
      <c r="N41" s="96"/>
      <c r="P41" s="96"/>
      <c r="Q41" s="96"/>
      <c r="R41" s="35"/>
    </row>
    <row r="42" spans="1:18" ht="18.75">
      <c r="A42" s="115"/>
      <c r="B42" s="109"/>
      <c r="C42" s="46"/>
      <c r="D42" s="48" t="s">
        <v>270</v>
      </c>
      <c r="E42" s="181"/>
      <c r="F42" s="57" t="str">
        <f>IF(E42&lt;&gt;"",VLOOKUP(E42,'Back End'!$C$2:$D$6,2,FALSE),"")</f>
        <v/>
      </c>
      <c r="G42" s="106"/>
      <c r="H42" s="107">
        <v>0</v>
      </c>
      <c r="I42" s="96"/>
      <c r="J42" s="96"/>
      <c r="K42" s="83"/>
      <c r="L42" s="105"/>
      <c r="M42" s="96"/>
      <c r="N42" s="96"/>
      <c r="P42" s="96"/>
      <c r="Q42" s="96"/>
      <c r="R42" s="35"/>
    </row>
    <row r="43" spans="1:18" ht="18.75">
      <c r="A43" s="115"/>
      <c r="B43" s="109"/>
      <c r="C43" s="46"/>
      <c r="D43" s="192" t="s">
        <v>294</v>
      </c>
      <c r="E43" s="190"/>
      <c r="F43" s="57" t="str">
        <f>IF(E43&lt;&gt;"",VLOOKUP(E43,'Back End'!$E$2:$F$6,2,FALSE),"")</f>
        <v/>
      </c>
      <c r="G43" s="180" t="s">
        <v>285</v>
      </c>
      <c r="H43" s="107">
        <v>0</v>
      </c>
      <c r="I43" s="96"/>
      <c r="J43" s="96"/>
      <c r="K43" s="83"/>
      <c r="L43" s="105"/>
      <c r="M43" s="96"/>
      <c r="N43" s="96"/>
      <c r="P43" s="96"/>
      <c r="Q43" s="96"/>
      <c r="R43" s="35"/>
    </row>
    <row r="44" spans="1:18" ht="18.75">
      <c r="A44" s="115"/>
      <c r="B44" s="109"/>
      <c r="C44" s="46"/>
      <c r="D44" s="192" t="s">
        <v>295</v>
      </c>
      <c r="E44" s="191"/>
      <c r="F44" s="57" t="str">
        <f>IF(E44&lt;&gt;"",VLOOKUP(E44,'Back End'!$E$2:$F$6,2,FALSE),"")</f>
        <v/>
      </c>
      <c r="G44" s="180" t="s">
        <v>286</v>
      </c>
      <c r="H44" s="107">
        <v>1</v>
      </c>
      <c r="I44" s="96"/>
      <c r="J44" s="96"/>
      <c r="K44" s="83"/>
      <c r="L44" s="105"/>
      <c r="M44" s="96"/>
      <c r="N44" s="96"/>
      <c r="P44" s="96"/>
      <c r="Q44" s="96"/>
      <c r="R44" s="35"/>
    </row>
    <row r="45" spans="1:18" ht="18.75">
      <c r="A45" s="23"/>
      <c r="G45" s="106" t="s">
        <v>128</v>
      </c>
      <c r="H45" s="107">
        <v>0</v>
      </c>
      <c r="I45" s="96"/>
      <c r="J45" s="96"/>
      <c r="K45" s="83"/>
      <c r="L45" s="105"/>
      <c r="M45" s="96"/>
      <c r="N45" s="96"/>
      <c r="P45" s="99"/>
      <c r="Q45" s="99"/>
    </row>
    <row r="46" spans="1:18" ht="19.5" thickBot="1">
      <c r="A46" s="59"/>
      <c r="B46" s="59"/>
      <c r="C46" s="59"/>
      <c r="D46" s="60"/>
      <c r="E46" s="61"/>
      <c r="F46" s="61"/>
      <c r="G46" s="62"/>
      <c r="H46" s="63"/>
      <c r="I46" s="59"/>
      <c r="J46" s="59"/>
      <c r="K46" s="59"/>
      <c r="L46" s="64"/>
      <c r="M46" s="96"/>
      <c r="N46" s="96"/>
      <c r="O46" s="97"/>
      <c r="P46" s="99"/>
      <c r="Q46" s="99"/>
    </row>
    <row r="47" spans="1:18" ht="15.75" thickBot="1">
      <c r="A47" s="65"/>
    </row>
    <row r="48" spans="1:18" ht="25.5">
      <c r="A48" s="113"/>
      <c r="B48" s="159"/>
      <c r="C48" s="159" t="s">
        <v>29</v>
      </c>
      <c r="D48" s="159"/>
      <c r="E48" s="159"/>
      <c r="F48" s="159"/>
      <c r="G48" s="232"/>
      <c r="H48" s="233"/>
      <c r="I48" s="168" t="s">
        <v>244</v>
      </c>
      <c r="J48" s="169" t="s">
        <v>245</v>
      </c>
      <c r="K48" s="159"/>
      <c r="L48" s="160"/>
      <c r="M48" s="82"/>
    </row>
    <row r="49" spans="1:13" ht="18.75">
      <c r="A49" s="115"/>
      <c r="B49" s="221" t="s">
        <v>243</v>
      </c>
      <c r="C49" s="221"/>
      <c r="D49" s="221"/>
      <c r="E49"/>
      <c r="G49" s="165" t="s">
        <v>246</v>
      </c>
      <c r="H49" s="226"/>
      <c r="I49" s="228">
        <v>0</v>
      </c>
      <c r="J49" s="170">
        <f>I49*2</f>
        <v>0</v>
      </c>
      <c r="K49"/>
      <c r="L49" s="84"/>
      <c r="M49" s="66"/>
    </row>
    <row r="50" spans="1:13" ht="18.75" customHeight="1">
      <c r="A50" s="115"/>
      <c r="B50" s="221"/>
      <c r="C50" s="221"/>
      <c r="D50" s="221"/>
      <c r="E50"/>
      <c r="G50" s="165" t="s">
        <v>247</v>
      </c>
      <c r="H50" s="226"/>
      <c r="I50" s="228">
        <v>0</v>
      </c>
      <c r="J50" s="170">
        <f>I50*4</f>
        <v>0</v>
      </c>
      <c r="K50"/>
      <c r="L50" s="81"/>
      <c r="M50" s="80"/>
    </row>
    <row r="51" spans="1:13" ht="7.5" customHeight="1">
      <c r="A51" s="115"/>
      <c r="B51" s="221"/>
      <c r="C51" s="221"/>
      <c r="D51" s="221"/>
      <c r="E51"/>
      <c r="G51" s="167"/>
      <c r="H51" s="226"/>
      <c r="I51" s="229"/>
      <c r="J51" s="171"/>
      <c r="K51"/>
      <c r="L51" s="81"/>
      <c r="M51" s="80"/>
    </row>
    <row r="52" spans="1:13" ht="18.75" customHeight="1">
      <c r="A52" s="115"/>
      <c r="B52"/>
      <c r="C52"/>
      <c r="D52"/>
      <c r="E52"/>
      <c r="F52"/>
      <c r="G52" s="166" t="s">
        <v>293</v>
      </c>
      <c r="H52" s="226"/>
      <c r="I52" s="230">
        <v>0</v>
      </c>
      <c r="J52" s="170">
        <f>-I52*2</f>
        <v>0</v>
      </c>
      <c r="K52"/>
      <c r="L52" s="81"/>
      <c r="M52" s="80"/>
    </row>
    <row r="53" spans="1:13" ht="18.75" customHeight="1" thickBot="1">
      <c r="A53" s="115"/>
      <c r="B53"/>
      <c r="C53" s="162"/>
      <c r="D53" s="162"/>
      <c r="E53"/>
      <c r="F53"/>
      <c r="G53" s="163" t="s">
        <v>248</v>
      </c>
      <c r="H53" s="227"/>
      <c r="I53" s="231">
        <v>0</v>
      </c>
      <c r="J53" s="164">
        <f>-I53*4</f>
        <v>0</v>
      </c>
      <c r="K53"/>
      <c r="L53" s="81"/>
      <c r="M53" s="80"/>
    </row>
    <row r="54" spans="1:13">
      <c r="A54" s="115"/>
      <c r="B54"/>
      <c r="C54" s="162"/>
      <c r="D54" s="162"/>
      <c r="E54"/>
      <c r="F54"/>
      <c r="G54" s="161"/>
      <c r="H54"/>
      <c r="I54"/>
      <c r="J54"/>
      <c r="K54"/>
      <c r="L54" s="81"/>
      <c r="M54" s="80"/>
    </row>
    <row r="55" spans="1:13" ht="15.75">
      <c r="A55" s="115"/>
      <c r="B55"/>
      <c r="C55" s="162"/>
      <c r="D55" s="193"/>
      <c r="E55"/>
      <c r="F55"/>
      <c r="G55"/>
      <c r="H55"/>
      <c r="I55"/>
      <c r="J55"/>
      <c r="K55"/>
      <c r="L55" s="81"/>
      <c r="M55" s="80"/>
    </row>
    <row r="56" spans="1:13">
      <c r="A56" s="115"/>
      <c r="B56"/>
      <c r="C56" s="162"/>
      <c r="D56" s="162"/>
      <c r="E56"/>
      <c r="F56"/>
      <c r="G56"/>
      <c r="H56"/>
      <c r="I56"/>
      <c r="J56"/>
      <c r="K56"/>
      <c r="L56" s="81"/>
      <c r="M56" s="80"/>
    </row>
    <row r="57" spans="1:13" ht="15.75">
      <c r="A57" s="115"/>
      <c r="B57"/>
      <c r="C57" s="162"/>
      <c r="D57" s="193"/>
      <c r="E57"/>
      <c r="F57"/>
      <c r="G57"/>
      <c r="H57"/>
      <c r="I57"/>
      <c r="J57"/>
      <c r="K57"/>
      <c r="L57" s="81"/>
      <c r="M57" s="80"/>
    </row>
    <row r="58" spans="1:13">
      <c r="A58" s="115"/>
      <c r="B58"/>
      <c r="C58" s="162"/>
      <c r="D58" s="162"/>
      <c r="E58"/>
      <c r="F58"/>
      <c r="G58"/>
      <c r="H58"/>
      <c r="I58"/>
      <c r="J58"/>
      <c r="K58"/>
      <c r="L58" s="81"/>
      <c r="M58" s="80"/>
    </row>
    <row r="59" spans="1:13">
      <c r="A59" s="115"/>
      <c r="B59"/>
      <c r="C59" s="162"/>
      <c r="D59" s="162"/>
      <c r="E59"/>
      <c r="F59"/>
      <c r="G59"/>
      <c r="H59"/>
      <c r="I59"/>
      <c r="J59"/>
      <c r="K59"/>
      <c r="L59" s="81"/>
      <c r="M59" s="80"/>
    </row>
    <row r="60" spans="1:13">
      <c r="A60" s="115"/>
      <c r="B60"/>
      <c r="C60" s="162"/>
      <c r="D60" s="162"/>
      <c r="E60"/>
      <c r="F60"/>
      <c r="G60"/>
      <c r="H60"/>
      <c r="I60"/>
      <c r="J60"/>
      <c r="K60"/>
      <c r="L60" s="81"/>
      <c r="M60" s="80"/>
    </row>
    <row r="61" spans="1:13">
      <c r="A61" s="115"/>
      <c r="B61"/>
      <c r="C61"/>
      <c r="D61"/>
      <c r="E61"/>
      <c r="F61"/>
      <c r="G61"/>
      <c r="H61"/>
      <c r="I61"/>
      <c r="J61"/>
      <c r="K61"/>
      <c r="L61" s="81"/>
      <c r="M61" s="80"/>
    </row>
    <row r="62" spans="1:13">
      <c r="A62" s="115"/>
      <c r="B62"/>
      <c r="C62"/>
      <c r="D62"/>
      <c r="E62"/>
      <c r="F62"/>
      <c r="G62"/>
      <c r="H62"/>
      <c r="I62"/>
      <c r="J62"/>
      <c r="K62"/>
      <c r="L62" s="81"/>
      <c r="M62" s="80"/>
    </row>
    <row r="63" spans="1:13">
      <c r="A63" s="115"/>
      <c r="B63"/>
      <c r="C63"/>
      <c r="D63"/>
      <c r="E63"/>
      <c r="F63"/>
      <c r="G63"/>
      <c r="H63"/>
      <c r="I63"/>
      <c r="J63"/>
      <c r="K63"/>
      <c r="L63" s="81"/>
      <c r="M63" s="80"/>
    </row>
    <row r="64" spans="1:13">
      <c r="A64" s="115"/>
      <c r="B64"/>
      <c r="C64" s="220"/>
      <c r="D64" s="220"/>
      <c r="E64"/>
      <c r="F64" s="220"/>
      <c r="G64" s="220"/>
      <c r="H64"/>
      <c r="I64" s="220"/>
      <c r="J64" s="220"/>
      <c r="K64"/>
      <c r="L64" s="79"/>
      <c r="M64" s="81"/>
    </row>
    <row r="65" spans="1:13">
      <c r="A65" s="115"/>
      <c r="B65"/>
      <c r="C65"/>
      <c r="D65"/>
      <c r="E65"/>
      <c r="F65"/>
      <c r="G65"/>
      <c r="H65"/>
      <c r="I65"/>
      <c r="J65"/>
      <c r="K65"/>
      <c r="L65" s="79"/>
      <c r="M65" s="81"/>
    </row>
    <row r="66" spans="1:13">
      <c r="A66" s="115"/>
      <c r="B66"/>
      <c r="C66"/>
      <c r="D66"/>
      <c r="E66"/>
      <c r="F66"/>
      <c r="G66"/>
      <c r="H66"/>
      <c r="I66"/>
      <c r="J66"/>
      <c r="K66"/>
      <c r="L66" s="79"/>
      <c r="M66" s="81"/>
    </row>
    <row r="67" spans="1:13">
      <c r="A67" s="115"/>
      <c r="B67"/>
      <c r="C67"/>
      <c r="D67"/>
      <c r="E67"/>
      <c r="F67"/>
      <c r="G67"/>
      <c r="H67"/>
      <c r="I67"/>
      <c r="J67"/>
      <c r="K67"/>
      <c r="L67" s="79"/>
      <c r="M67" s="81"/>
    </row>
    <row r="68" spans="1:13">
      <c r="A68" s="115"/>
      <c r="B68"/>
      <c r="C68"/>
      <c r="D68"/>
      <c r="E68"/>
      <c r="F68"/>
      <c r="G68"/>
      <c r="H68"/>
      <c r="I68"/>
      <c r="J68"/>
      <c r="K68"/>
      <c r="L68" s="79"/>
      <c r="M68" s="81"/>
    </row>
    <row r="69" spans="1:13">
      <c r="A69" s="115"/>
      <c r="B69"/>
      <c r="C69"/>
      <c r="D69"/>
      <c r="E69"/>
      <c r="F69"/>
      <c r="G69"/>
      <c r="H69"/>
      <c r="I69"/>
      <c r="J69"/>
      <c r="K69"/>
      <c r="L69" s="79"/>
      <c r="M69" s="81"/>
    </row>
    <row r="70" spans="1:13">
      <c r="A70" s="115"/>
      <c r="B70"/>
      <c r="C70"/>
      <c r="D70"/>
      <c r="E70"/>
      <c r="F70"/>
      <c r="G70"/>
      <c r="H70"/>
      <c r="I70"/>
      <c r="J70"/>
      <c r="K70"/>
      <c r="L70" s="79"/>
      <c r="M70" s="81"/>
    </row>
    <row r="71" spans="1:13">
      <c r="A71" s="115"/>
      <c r="B71"/>
      <c r="C71"/>
      <c r="D71"/>
      <c r="E71"/>
      <c r="F71"/>
      <c r="G71"/>
      <c r="H71"/>
      <c r="I71"/>
      <c r="J71"/>
      <c r="K71"/>
      <c r="L71" s="79"/>
      <c r="M71" s="81"/>
    </row>
    <row r="72" spans="1:13">
      <c r="A72" s="115"/>
      <c r="B72"/>
      <c r="C72"/>
      <c r="D72"/>
      <c r="E72"/>
      <c r="F72"/>
      <c r="G72"/>
      <c r="H72"/>
      <c r="I72"/>
      <c r="J72"/>
      <c r="K72"/>
      <c r="L72" s="79"/>
      <c r="M72" s="81"/>
    </row>
    <row r="73" spans="1:13">
      <c r="A73" s="115"/>
      <c r="B73"/>
      <c r="C73"/>
      <c r="D73"/>
      <c r="E73"/>
      <c r="F73"/>
      <c r="G73"/>
      <c r="H73"/>
      <c r="I73"/>
      <c r="J73"/>
      <c r="K73"/>
      <c r="L73" s="79"/>
      <c r="M73" s="81"/>
    </row>
    <row r="74" spans="1:13">
      <c r="A74" s="115"/>
      <c r="B74"/>
      <c r="C74"/>
      <c r="D74"/>
      <c r="E74"/>
      <c r="F74"/>
      <c r="G74"/>
      <c r="H74"/>
      <c r="I74"/>
      <c r="J74"/>
      <c r="K74"/>
      <c r="L74" s="79"/>
      <c r="M74" s="81"/>
    </row>
    <row r="75" spans="1:13">
      <c r="A75" s="115"/>
      <c r="B75"/>
      <c r="C75"/>
      <c r="D75"/>
      <c r="E75"/>
      <c r="F75"/>
      <c r="G75"/>
      <c r="H75"/>
      <c r="I75"/>
      <c r="J75"/>
      <c r="K75"/>
      <c r="L75" s="79"/>
      <c r="M75" s="81"/>
    </row>
    <row r="76" spans="1:13" ht="18.75">
      <c r="A76" s="28"/>
      <c r="B76" s="117" t="s">
        <v>176</v>
      </c>
      <c r="C76" s="224" t="s">
        <v>30</v>
      </c>
      <c r="D76" s="224"/>
      <c r="E76" s="117"/>
      <c r="F76" s="224" t="s">
        <v>31</v>
      </c>
      <c r="G76" s="224"/>
      <c r="H76" s="117"/>
      <c r="I76" s="224" t="s">
        <v>32</v>
      </c>
      <c r="J76" s="224"/>
      <c r="K76" s="117"/>
      <c r="L76" s="79"/>
      <c r="M76" s="81"/>
    </row>
    <row r="77" spans="1:13" ht="18.75">
      <c r="A77" s="28"/>
      <c r="B77" s="118" t="s">
        <v>157</v>
      </c>
      <c r="C77" s="222"/>
      <c r="D77" s="222"/>
      <c r="E77" s="119"/>
      <c r="F77" s="119"/>
      <c r="G77" s="119"/>
      <c r="H77" s="119"/>
      <c r="I77" s="119"/>
      <c r="J77" s="119"/>
      <c r="K77" s="119"/>
      <c r="L77" s="79"/>
      <c r="M77" s="81"/>
    </row>
    <row r="78" spans="1:13" ht="18.75">
      <c r="A78" s="28"/>
      <c r="B78" s="118" t="s">
        <v>186</v>
      </c>
      <c r="C78" s="222"/>
      <c r="D78" s="222"/>
      <c r="E78" s="119"/>
      <c r="F78" s="119"/>
      <c r="G78" s="119"/>
      <c r="H78" s="119"/>
      <c r="I78" s="119"/>
      <c r="J78" s="119"/>
      <c r="K78" s="119"/>
      <c r="L78" s="79"/>
      <c r="M78" s="81"/>
    </row>
    <row r="79" spans="1:13" ht="18.75">
      <c r="A79" s="28"/>
      <c r="B79" s="118" t="s">
        <v>187</v>
      </c>
      <c r="C79" s="222"/>
      <c r="D79" s="222"/>
      <c r="E79" s="119"/>
      <c r="F79" s="119"/>
      <c r="G79" s="119"/>
      <c r="H79" s="119"/>
      <c r="I79" s="119"/>
      <c r="J79" s="119"/>
      <c r="K79" s="119"/>
      <c r="L79" s="79"/>
      <c r="M79" s="81"/>
    </row>
    <row r="80" spans="1:13" ht="18.75">
      <c r="A80" s="28"/>
      <c r="B80" s="117" t="s">
        <v>179</v>
      </c>
      <c r="C80" s="224" t="s">
        <v>30</v>
      </c>
      <c r="D80" s="224"/>
      <c r="E80" s="117" t="s">
        <v>192</v>
      </c>
      <c r="F80" s="224" t="s">
        <v>31</v>
      </c>
      <c r="G80" s="224"/>
      <c r="H80" s="117" t="s">
        <v>192</v>
      </c>
      <c r="I80" s="224" t="s">
        <v>32</v>
      </c>
      <c r="J80" s="224"/>
      <c r="K80" s="117" t="s">
        <v>192</v>
      </c>
      <c r="L80" s="79"/>
      <c r="M80" s="81"/>
    </row>
    <row r="81" spans="1:13" ht="18.75">
      <c r="A81" s="28"/>
      <c r="B81" s="118" t="s">
        <v>183</v>
      </c>
      <c r="C81" s="222"/>
      <c r="D81" s="222"/>
      <c r="E81" s="119"/>
      <c r="F81" s="119"/>
      <c r="G81" s="119"/>
      <c r="H81" s="119"/>
      <c r="I81" s="119"/>
      <c r="J81" s="119"/>
      <c r="K81" s="119"/>
      <c r="L81" s="79"/>
      <c r="M81" s="81"/>
    </row>
    <row r="82" spans="1:13" ht="18.75">
      <c r="A82" s="28"/>
      <c r="B82" s="118" t="s">
        <v>184</v>
      </c>
      <c r="C82" s="222"/>
      <c r="D82" s="222"/>
      <c r="E82" s="119"/>
      <c r="F82" s="119"/>
      <c r="G82" s="119"/>
      <c r="H82" s="119"/>
      <c r="I82" s="119"/>
      <c r="J82" s="119"/>
      <c r="K82" s="119"/>
      <c r="L82" s="79"/>
      <c r="M82" s="81"/>
    </row>
    <row r="83" spans="1:13" ht="18.75">
      <c r="A83" s="28"/>
      <c r="B83" s="118" t="s">
        <v>185</v>
      </c>
      <c r="C83" s="222"/>
      <c r="D83" s="222"/>
      <c r="E83" s="119"/>
      <c r="F83" s="119"/>
      <c r="G83" s="119"/>
      <c r="H83" s="119"/>
      <c r="I83" s="119"/>
      <c r="J83" s="119"/>
      <c r="K83" s="119"/>
      <c r="L83" s="79"/>
      <c r="M83" s="81"/>
    </row>
    <row r="84" spans="1:13" ht="18.75">
      <c r="A84" s="28"/>
      <c r="B84" s="120" t="s">
        <v>182</v>
      </c>
      <c r="C84" s="223"/>
      <c r="D84" s="223"/>
      <c r="E84" s="121"/>
      <c r="F84" s="121"/>
      <c r="G84" s="121"/>
      <c r="H84" s="121"/>
      <c r="I84" s="121"/>
      <c r="J84" s="121"/>
      <c r="K84" s="121"/>
      <c r="L84" s="79"/>
      <c r="M84" s="81"/>
    </row>
    <row r="85" spans="1:13" ht="18.75">
      <c r="A85" s="28"/>
      <c r="B85" s="112" t="s">
        <v>158</v>
      </c>
      <c r="C85" s="225"/>
      <c r="D85" s="225"/>
      <c r="E85" s="93"/>
      <c r="F85" s="93"/>
      <c r="G85" s="93"/>
      <c r="H85" s="93"/>
      <c r="I85" s="93"/>
      <c r="J85" s="93"/>
      <c r="K85" s="90"/>
      <c r="L85" s="79"/>
      <c r="M85" s="81"/>
    </row>
    <row r="86" spans="1:13" ht="18.75">
      <c r="A86" s="28"/>
      <c r="B86" s="112" t="s">
        <v>159</v>
      </c>
      <c r="C86" s="225"/>
      <c r="D86" s="225"/>
      <c r="E86" s="93"/>
      <c r="F86" s="93"/>
      <c r="G86" s="93"/>
      <c r="H86" s="93"/>
      <c r="I86" s="93"/>
      <c r="J86" s="93"/>
      <c r="K86" s="90"/>
      <c r="L86" s="79"/>
      <c r="M86" s="81"/>
    </row>
    <row r="87" spans="1:13" ht="18.75">
      <c r="A87" s="28"/>
      <c r="B87" s="112" t="s">
        <v>160</v>
      </c>
      <c r="C87" s="225"/>
      <c r="D87" s="225"/>
      <c r="E87" s="93"/>
      <c r="F87" s="93"/>
      <c r="G87" s="93"/>
      <c r="H87" s="93"/>
      <c r="I87" s="93"/>
      <c r="J87" s="93"/>
      <c r="K87" s="90"/>
      <c r="L87" s="79"/>
      <c r="M87" s="81"/>
    </row>
    <row r="88" spans="1:13" ht="18.75">
      <c r="A88" s="28"/>
      <c r="B88" s="112" t="s">
        <v>161</v>
      </c>
      <c r="C88" s="225"/>
      <c r="D88" s="225"/>
      <c r="E88" s="93"/>
      <c r="F88" s="93"/>
      <c r="G88" s="93"/>
      <c r="H88" s="93"/>
      <c r="I88" s="93"/>
      <c r="J88" s="93"/>
      <c r="K88" s="90"/>
      <c r="L88" s="79"/>
      <c r="M88" s="81"/>
    </row>
    <row r="89" spans="1:13" ht="18.75">
      <c r="A89" s="28"/>
      <c r="B89" s="112" t="s">
        <v>162</v>
      </c>
      <c r="C89" s="225"/>
      <c r="D89" s="225"/>
      <c r="E89" s="93"/>
      <c r="F89" s="93"/>
      <c r="G89" s="93"/>
      <c r="H89" s="93"/>
      <c r="I89" s="93"/>
      <c r="J89" s="93"/>
      <c r="K89" s="90"/>
      <c r="L89" s="79"/>
      <c r="M89" s="81"/>
    </row>
    <row r="90" spans="1:13" ht="18.75">
      <c r="A90" s="28"/>
      <c r="B90" s="112" t="s">
        <v>163</v>
      </c>
      <c r="C90" s="225"/>
      <c r="D90" s="225"/>
      <c r="E90" s="93"/>
      <c r="F90" s="93"/>
      <c r="G90" s="93"/>
      <c r="H90" s="93"/>
      <c r="I90" s="93"/>
      <c r="J90" s="93"/>
      <c r="K90" s="90"/>
      <c r="L90" s="79"/>
      <c r="M90" s="81"/>
    </row>
    <row r="91" spans="1:13" ht="18.75">
      <c r="A91" s="28"/>
      <c r="B91" s="112" t="s">
        <v>164</v>
      </c>
      <c r="C91" s="225"/>
      <c r="D91" s="225"/>
      <c r="E91" s="93"/>
      <c r="F91" s="93"/>
      <c r="G91" s="93"/>
      <c r="H91" s="93"/>
      <c r="I91" s="93"/>
      <c r="J91" s="93"/>
      <c r="K91" s="90"/>
      <c r="L91" s="79"/>
      <c r="M91" s="81"/>
    </row>
    <row r="92" spans="1:13" ht="18.75">
      <c r="A92" s="28"/>
      <c r="B92" s="112" t="s">
        <v>165</v>
      </c>
      <c r="C92" s="225"/>
      <c r="D92" s="225"/>
      <c r="E92" s="93"/>
      <c r="F92" s="93"/>
      <c r="G92" s="93"/>
      <c r="H92" s="93"/>
      <c r="I92" s="93"/>
      <c r="J92" s="93"/>
      <c r="K92" s="90"/>
      <c r="L92" s="79"/>
      <c r="M92" s="81"/>
    </row>
    <row r="93" spans="1:13" ht="18.75">
      <c r="A93" s="28"/>
      <c r="B93" s="111" t="s">
        <v>180</v>
      </c>
      <c r="C93" s="225"/>
      <c r="D93" s="225"/>
      <c r="E93" s="93"/>
      <c r="F93" s="93"/>
      <c r="G93" s="93"/>
      <c r="H93" s="93"/>
      <c r="I93" s="93"/>
      <c r="J93" s="93"/>
      <c r="K93" s="90"/>
      <c r="L93" s="79"/>
      <c r="M93" s="81"/>
    </row>
    <row r="94" spans="1:13" ht="18.75">
      <c r="A94" s="28"/>
      <c r="B94" s="112" t="s">
        <v>188</v>
      </c>
      <c r="C94" s="225"/>
      <c r="D94" s="225"/>
      <c r="E94" s="93"/>
      <c r="F94" s="93"/>
      <c r="G94" s="93"/>
      <c r="H94" s="93"/>
      <c r="I94" s="93"/>
      <c r="J94" s="93"/>
      <c r="K94" s="90"/>
      <c r="L94" s="79"/>
      <c r="M94" s="81"/>
    </row>
    <row r="95" spans="1:13" ht="18.75">
      <c r="A95" s="28"/>
      <c r="B95" s="112" t="s">
        <v>189</v>
      </c>
      <c r="C95" s="225"/>
      <c r="D95" s="225"/>
      <c r="E95" s="93"/>
      <c r="F95" s="93"/>
      <c r="G95" s="93"/>
      <c r="H95" s="93"/>
      <c r="I95" s="93"/>
      <c r="J95" s="93"/>
      <c r="K95" s="90"/>
      <c r="L95" s="79"/>
      <c r="M95" s="81"/>
    </row>
    <row r="96" spans="1:13" ht="18.75">
      <c r="A96" s="28"/>
      <c r="B96" s="112" t="s">
        <v>190</v>
      </c>
      <c r="C96" s="225"/>
      <c r="D96" s="225"/>
      <c r="E96" s="94"/>
      <c r="F96" s="94"/>
      <c r="G96" s="94"/>
      <c r="H96" s="94"/>
      <c r="I96" s="94"/>
      <c r="J96" s="94"/>
      <c r="K96" s="91"/>
      <c r="L96" s="79"/>
      <c r="M96" s="81"/>
    </row>
    <row r="97" spans="1:14">
      <c r="A97" s="28"/>
      <c r="L97" s="30"/>
      <c r="M97" s="23"/>
      <c r="N97" s="23"/>
    </row>
    <row r="98" spans="1:14" ht="15.75" thickBot="1">
      <c r="A98" s="28"/>
      <c r="B98" s="41"/>
      <c r="C98" s="41"/>
      <c r="D98" s="41"/>
      <c r="E98" s="41"/>
      <c r="F98" s="41"/>
      <c r="G98" s="41"/>
      <c r="H98" s="41"/>
      <c r="I98" s="41"/>
      <c r="J98" s="41"/>
      <c r="K98" s="41"/>
      <c r="L98" s="42"/>
      <c r="M98" s="23"/>
    </row>
    <row r="99" spans="1:14">
      <c r="A99" s="23"/>
      <c r="L99" s="23"/>
      <c r="M99" s="23"/>
    </row>
  </sheetData>
  <sheetProtection insertRows="0" deleteRows="0"/>
  <mergeCells count="35">
    <mergeCell ref="C85:D85"/>
    <mergeCell ref="C86:D86"/>
    <mergeCell ref="C87:D87"/>
    <mergeCell ref="C88:D88"/>
    <mergeCell ref="C89:D89"/>
    <mergeCell ref="C95:D95"/>
    <mergeCell ref="C96:D96"/>
    <mergeCell ref="C90:D90"/>
    <mergeCell ref="C91:D91"/>
    <mergeCell ref="C92:D92"/>
    <mergeCell ref="C93:D93"/>
    <mergeCell ref="C94:D94"/>
    <mergeCell ref="C84:D84"/>
    <mergeCell ref="C76:D76"/>
    <mergeCell ref="C77:D77"/>
    <mergeCell ref="C78:D78"/>
    <mergeCell ref="C79:D79"/>
    <mergeCell ref="C80:D80"/>
    <mergeCell ref="C81:D81"/>
    <mergeCell ref="C64:D64"/>
    <mergeCell ref="B21:L21"/>
    <mergeCell ref="B49:D51"/>
    <mergeCell ref="C82:D82"/>
    <mergeCell ref="C83:D83"/>
    <mergeCell ref="F80:G80"/>
    <mergeCell ref="I80:J80"/>
    <mergeCell ref="F64:G64"/>
    <mergeCell ref="I64:J64"/>
    <mergeCell ref="F76:G76"/>
    <mergeCell ref="I76:J76"/>
    <mergeCell ref="A2:L2"/>
    <mergeCell ref="A8:L8"/>
    <mergeCell ref="C3:F3"/>
    <mergeCell ref="C4:F4"/>
    <mergeCell ref="C5:F5"/>
  </mergeCells>
  <dataValidations count="5">
    <dataValidation type="list" allowBlank="1" showInputMessage="1" sqref="O46">
      <formula1>DevicesList</formula1>
    </dataValidation>
    <dataValidation type="whole" errorStyle="information" allowBlank="1" showErrorMessage="1" errorTitle="Stats:" error="A character must have at least 1 in a stat (with a few exceptions, such as mindless zombies - but who wants to play one of those?). " sqref="E17:E20 C19:C20">
      <formula1>1</formula1>
      <formula2>5</formula2>
    </dataValidation>
    <dataValidation type="whole" errorStyle="warning" allowBlank="1" errorTitle="Stats:" error="_x000a_" sqref="C10:C18">
      <formula1>1</formula1>
      <formula2>5</formula2>
    </dataValidation>
    <dataValidation type="list" allowBlank="1" showInputMessage="1" showErrorMessage="1" sqref="D46 D23 D24 D40:D42 D38 D39 D25:D26 D27 D28:D29 D30 D31:D37">
      <formula1>PactSkills</formula1>
    </dataValidation>
    <dataValidation allowBlank="1" showInputMessage="1" sqref="D43"/>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76" r:id="rId4" name="AddAthletics">
              <controlPr defaultSize="0" print="0" autoFill="0" autoPict="0" macro="[0]!newAthleticsSpeciality">
                <anchor moveWithCells="1" sizeWithCells="1">
                  <from>
                    <xdr:col>1</xdr:col>
                    <xdr:colOff>266700</xdr:colOff>
                    <xdr:row>25</xdr:row>
                    <xdr:rowOff>38100</xdr:rowOff>
                  </from>
                  <to>
                    <xdr:col>1</xdr:col>
                    <xdr:colOff>866775</xdr:colOff>
                    <xdr:row>25</xdr:row>
                    <xdr:rowOff>152400</xdr:rowOff>
                  </to>
                </anchor>
              </controlPr>
            </control>
          </mc:Choice>
        </mc:AlternateContent>
        <mc:AlternateContent xmlns:mc="http://schemas.openxmlformats.org/markup-compatibility/2006">
          <mc:Choice Requires="x14">
            <control shapeId="27677" r:id="rId5" name="DeleteAthletics">
              <controlPr defaultSize="0" print="0" autoFill="0" autoPict="0" macro="[0]!deleteAthleticsSpeciality">
                <anchor moveWithCells="1" sizeWithCells="1">
                  <from>
                    <xdr:col>2</xdr:col>
                    <xdr:colOff>228600</xdr:colOff>
                    <xdr:row>25</xdr:row>
                    <xdr:rowOff>38100</xdr:rowOff>
                  </from>
                  <to>
                    <xdr:col>2</xdr:col>
                    <xdr:colOff>847725</xdr:colOff>
                    <xdr:row>25</xdr:row>
                    <xdr:rowOff>142875</xdr:rowOff>
                  </to>
                </anchor>
              </controlPr>
            </control>
          </mc:Choice>
        </mc:AlternateContent>
        <mc:AlternateContent xmlns:mc="http://schemas.openxmlformats.org/markup-compatibility/2006">
          <mc:Choice Requires="x14">
            <control shapeId="27703" r:id="rId6" name="DeleteMelee">
              <controlPr defaultSize="0" print="0" autoFill="0" autoPict="0" macro="[0]!deleteMeleeSpeciality">
                <anchor moveWithCells="1" sizeWithCells="1">
                  <from>
                    <xdr:col>2</xdr:col>
                    <xdr:colOff>228600</xdr:colOff>
                    <xdr:row>22</xdr:row>
                    <xdr:rowOff>38100</xdr:rowOff>
                  </from>
                  <to>
                    <xdr:col>2</xdr:col>
                    <xdr:colOff>847725</xdr:colOff>
                    <xdr:row>22</xdr:row>
                    <xdr:rowOff>142875</xdr:rowOff>
                  </to>
                </anchor>
              </controlPr>
            </control>
          </mc:Choice>
        </mc:AlternateContent>
        <mc:AlternateContent xmlns:mc="http://schemas.openxmlformats.org/markup-compatibility/2006">
          <mc:Choice Requires="x14">
            <control shapeId="27704" r:id="rId7" name="DeleteRanged">
              <controlPr defaultSize="0" print="0" autoFill="0" autoPict="0" macro="[0]!deleteRangedSpeciality">
                <anchor moveWithCells="1" sizeWithCells="1">
                  <from>
                    <xdr:col>2</xdr:col>
                    <xdr:colOff>228600</xdr:colOff>
                    <xdr:row>23</xdr:row>
                    <xdr:rowOff>38100</xdr:rowOff>
                  </from>
                  <to>
                    <xdr:col>2</xdr:col>
                    <xdr:colOff>847725</xdr:colOff>
                    <xdr:row>23</xdr:row>
                    <xdr:rowOff>142875</xdr:rowOff>
                  </to>
                </anchor>
              </controlPr>
            </control>
          </mc:Choice>
        </mc:AlternateContent>
        <mc:AlternateContent xmlns:mc="http://schemas.openxmlformats.org/markup-compatibility/2006">
          <mc:Choice Requires="x14">
            <control shapeId="27705" r:id="rId8" name="DeleteStealth">
              <controlPr defaultSize="0" print="0" autoFill="0" autoPict="0" macro="[0]!deleteStealthSpeciality">
                <anchor moveWithCells="1" sizeWithCells="1">
                  <from>
                    <xdr:col>2</xdr:col>
                    <xdr:colOff>228600</xdr:colOff>
                    <xdr:row>26</xdr:row>
                    <xdr:rowOff>38100</xdr:rowOff>
                  </from>
                  <to>
                    <xdr:col>2</xdr:col>
                    <xdr:colOff>847725</xdr:colOff>
                    <xdr:row>26</xdr:row>
                    <xdr:rowOff>142875</xdr:rowOff>
                  </to>
                </anchor>
              </controlPr>
            </control>
          </mc:Choice>
        </mc:AlternateContent>
        <mc:AlternateContent xmlns:mc="http://schemas.openxmlformats.org/markup-compatibility/2006">
          <mc:Choice Requires="x14">
            <control shapeId="27706" r:id="rId9" name="DeleteSurvival">
              <controlPr defaultSize="0" print="0" autoFill="0" autoPict="0" macro="[0]!deleteSurvivalSpeciality">
                <anchor moveWithCells="1" sizeWithCells="1">
                  <from>
                    <xdr:col>2</xdr:col>
                    <xdr:colOff>228600</xdr:colOff>
                    <xdr:row>27</xdr:row>
                    <xdr:rowOff>38100</xdr:rowOff>
                  </from>
                  <to>
                    <xdr:col>2</xdr:col>
                    <xdr:colOff>847725</xdr:colOff>
                    <xdr:row>27</xdr:row>
                    <xdr:rowOff>142875</xdr:rowOff>
                  </to>
                </anchor>
              </controlPr>
            </control>
          </mc:Choice>
        </mc:AlternateContent>
        <mc:AlternateContent xmlns:mc="http://schemas.openxmlformats.org/markup-compatibility/2006">
          <mc:Choice Requires="x14">
            <control shapeId="27707" r:id="rId10" name="DeleteUnarmed">
              <controlPr defaultSize="0" print="0" autoFill="0" autoPict="0" macro="[0]!deleteUnarmedSpeciality">
                <anchor moveWithCells="1" sizeWithCells="1">
                  <from>
                    <xdr:col>2</xdr:col>
                    <xdr:colOff>228600</xdr:colOff>
                    <xdr:row>24</xdr:row>
                    <xdr:rowOff>38100</xdr:rowOff>
                  </from>
                  <to>
                    <xdr:col>2</xdr:col>
                    <xdr:colOff>847725</xdr:colOff>
                    <xdr:row>24</xdr:row>
                    <xdr:rowOff>142875</xdr:rowOff>
                  </to>
                </anchor>
              </controlPr>
            </control>
          </mc:Choice>
        </mc:AlternateContent>
        <mc:AlternateContent xmlns:mc="http://schemas.openxmlformats.org/markup-compatibility/2006">
          <mc:Choice Requires="x14">
            <control shapeId="27708" r:id="rId11" name="DeleteAnimalHandling">
              <controlPr defaultSize="0" print="0" autoFill="0" autoPict="0" macro="[0]!deleteAnimalHandlingSpeciality">
                <anchor moveWithCells="1" sizeWithCells="1">
                  <from>
                    <xdr:col>2</xdr:col>
                    <xdr:colOff>228600</xdr:colOff>
                    <xdr:row>32</xdr:row>
                    <xdr:rowOff>38100</xdr:rowOff>
                  </from>
                  <to>
                    <xdr:col>2</xdr:col>
                    <xdr:colOff>847725</xdr:colOff>
                    <xdr:row>32</xdr:row>
                    <xdr:rowOff>142875</xdr:rowOff>
                  </to>
                </anchor>
              </controlPr>
            </control>
          </mc:Choice>
        </mc:AlternateContent>
        <mc:AlternateContent xmlns:mc="http://schemas.openxmlformats.org/markup-compatibility/2006">
          <mc:Choice Requires="x14">
            <control shapeId="27709" r:id="rId12" name="DeleteDiscipline">
              <controlPr defaultSize="0" print="0" autoFill="0" autoPict="0" macro="[0]!deleteDisciplineSpeciality">
                <anchor moveWithCells="1" sizeWithCells="1">
                  <from>
                    <xdr:col>2</xdr:col>
                    <xdr:colOff>228600</xdr:colOff>
                    <xdr:row>29</xdr:row>
                    <xdr:rowOff>38100</xdr:rowOff>
                  </from>
                  <to>
                    <xdr:col>2</xdr:col>
                    <xdr:colOff>847725</xdr:colOff>
                    <xdr:row>29</xdr:row>
                    <xdr:rowOff>142875</xdr:rowOff>
                  </to>
                </anchor>
              </controlPr>
            </control>
          </mc:Choice>
        </mc:AlternateContent>
        <mc:AlternateContent xmlns:mc="http://schemas.openxmlformats.org/markup-compatibility/2006">
          <mc:Choice Requires="x14">
            <control shapeId="27710" r:id="rId13" name="DeletePerformance">
              <controlPr defaultSize="0" print="0" autoFill="0" autoPict="0" macro="[0]!deletePerformanceSpeciality">
                <anchor moveWithCells="1" sizeWithCells="1">
                  <from>
                    <xdr:col>2</xdr:col>
                    <xdr:colOff>228600</xdr:colOff>
                    <xdr:row>33</xdr:row>
                    <xdr:rowOff>38100</xdr:rowOff>
                  </from>
                  <to>
                    <xdr:col>2</xdr:col>
                    <xdr:colOff>847725</xdr:colOff>
                    <xdr:row>33</xdr:row>
                    <xdr:rowOff>142875</xdr:rowOff>
                  </to>
                </anchor>
              </controlPr>
            </control>
          </mc:Choice>
        </mc:AlternateContent>
        <mc:AlternateContent xmlns:mc="http://schemas.openxmlformats.org/markup-compatibility/2006">
          <mc:Choice Requires="x14">
            <control shapeId="27711" r:id="rId14" name="DeleteStreetwise">
              <controlPr defaultSize="0" print="0" autoFill="0" autoPict="0" macro="[0]!deleteStreetwiseSpeciality">
                <anchor moveWithCells="1" sizeWithCells="1">
                  <from>
                    <xdr:col>2</xdr:col>
                    <xdr:colOff>228600</xdr:colOff>
                    <xdr:row>31</xdr:row>
                    <xdr:rowOff>38100</xdr:rowOff>
                  </from>
                  <to>
                    <xdr:col>2</xdr:col>
                    <xdr:colOff>847725</xdr:colOff>
                    <xdr:row>31</xdr:row>
                    <xdr:rowOff>142875</xdr:rowOff>
                  </to>
                </anchor>
              </controlPr>
            </control>
          </mc:Choice>
        </mc:AlternateContent>
        <mc:AlternateContent xmlns:mc="http://schemas.openxmlformats.org/markup-compatibility/2006">
          <mc:Choice Requires="x14">
            <control shapeId="27712" r:id="rId15" name="DeleteSocial">
              <controlPr defaultSize="0" print="0" autoFill="0" autoPict="0" macro="[0]!deleteSocialSpeciality">
                <anchor moveWithCells="1" sizeWithCells="1">
                  <from>
                    <xdr:col>2</xdr:col>
                    <xdr:colOff>228600</xdr:colOff>
                    <xdr:row>30</xdr:row>
                    <xdr:rowOff>38100</xdr:rowOff>
                  </from>
                  <to>
                    <xdr:col>2</xdr:col>
                    <xdr:colOff>847725</xdr:colOff>
                    <xdr:row>30</xdr:row>
                    <xdr:rowOff>142875</xdr:rowOff>
                  </to>
                </anchor>
              </controlPr>
            </control>
          </mc:Choice>
        </mc:AlternateContent>
        <mc:AlternateContent xmlns:mc="http://schemas.openxmlformats.org/markup-compatibility/2006">
          <mc:Choice Requires="x14">
            <control shapeId="27713" r:id="rId16" name="DeleteArtistry">
              <controlPr defaultSize="0" print="0" autoFill="0" autoPict="0" macro="[0]!deleteArtistrySpeciality">
                <anchor moveWithCells="1" sizeWithCells="1">
                  <from>
                    <xdr:col>2</xdr:col>
                    <xdr:colOff>228600</xdr:colOff>
                    <xdr:row>34</xdr:row>
                    <xdr:rowOff>38100</xdr:rowOff>
                  </from>
                  <to>
                    <xdr:col>2</xdr:col>
                    <xdr:colOff>847725</xdr:colOff>
                    <xdr:row>34</xdr:row>
                    <xdr:rowOff>142875</xdr:rowOff>
                  </to>
                </anchor>
              </controlPr>
            </control>
          </mc:Choice>
        </mc:AlternateContent>
        <mc:AlternateContent xmlns:mc="http://schemas.openxmlformats.org/markup-compatibility/2006">
          <mc:Choice Requires="x14">
            <control shapeId="27714" r:id="rId17" name="DeleteAlertness">
              <controlPr defaultSize="0" print="0" autoFill="0" autoPict="0" macro="[0]!deleteAlertnessSpeciality">
                <anchor moveWithCells="1" sizeWithCells="1">
                  <from>
                    <xdr:col>2</xdr:col>
                    <xdr:colOff>228600</xdr:colOff>
                    <xdr:row>28</xdr:row>
                    <xdr:rowOff>38100</xdr:rowOff>
                  </from>
                  <to>
                    <xdr:col>2</xdr:col>
                    <xdr:colOff>847725</xdr:colOff>
                    <xdr:row>28</xdr:row>
                    <xdr:rowOff>142875</xdr:rowOff>
                  </to>
                </anchor>
              </controlPr>
            </control>
          </mc:Choice>
        </mc:AlternateContent>
        <mc:AlternateContent xmlns:mc="http://schemas.openxmlformats.org/markup-compatibility/2006">
          <mc:Choice Requires="x14">
            <control shapeId="27715" r:id="rId18" name="DeleteCraft">
              <controlPr defaultSize="0" print="0" autoFill="0" autoPict="0" macro="[0]!deleteCraftSpeciality">
                <anchor moveWithCells="1" sizeWithCells="1">
                  <from>
                    <xdr:col>2</xdr:col>
                    <xdr:colOff>228600</xdr:colOff>
                    <xdr:row>35</xdr:row>
                    <xdr:rowOff>38100</xdr:rowOff>
                  </from>
                  <to>
                    <xdr:col>2</xdr:col>
                    <xdr:colOff>847725</xdr:colOff>
                    <xdr:row>35</xdr:row>
                    <xdr:rowOff>142875</xdr:rowOff>
                  </to>
                </anchor>
              </controlPr>
            </control>
          </mc:Choice>
        </mc:AlternateContent>
        <mc:AlternateContent xmlns:mc="http://schemas.openxmlformats.org/markup-compatibility/2006">
          <mc:Choice Requires="x14">
            <control shapeId="27716" r:id="rId19" name="DeleteAcademia">
              <controlPr defaultSize="0" print="0" autoFill="0" autoPict="0" macro="[0]!deleteMechanicsSpeciality">
                <anchor moveWithCells="1" sizeWithCells="1">
                  <from>
                    <xdr:col>2</xdr:col>
                    <xdr:colOff>228600</xdr:colOff>
                    <xdr:row>37</xdr:row>
                    <xdr:rowOff>38100</xdr:rowOff>
                  </from>
                  <to>
                    <xdr:col>2</xdr:col>
                    <xdr:colOff>847725</xdr:colOff>
                    <xdr:row>37</xdr:row>
                    <xdr:rowOff>142875</xdr:rowOff>
                  </to>
                </anchor>
              </controlPr>
            </control>
          </mc:Choice>
        </mc:AlternateContent>
        <mc:AlternateContent xmlns:mc="http://schemas.openxmlformats.org/markup-compatibility/2006">
          <mc:Choice Requires="x14">
            <control shapeId="27717" r:id="rId20" name="DeleteDevices">
              <controlPr defaultSize="0" print="0" autoFill="0" autoPict="0" macro="[0]!deleteDemolitionsSpeciality">
                <anchor moveWithCells="1" sizeWithCells="1">
                  <from>
                    <xdr:col>2</xdr:col>
                    <xdr:colOff>228600</xdr:colOff>
                    <xdr:row>36</xdr:row>
                    <xdr:rowOff>38100</xdr:rowOff>
                  </from>
                  <to>
                    <xdr:col>2</xdr:col>
                    <xdr:colOff>847725</xdr:colOff>
                    <xdr:row>36</xdr:row>
                    <xdr:rowOff>142875</xdr:rowOff>
                  </to>
                </anchor>
              </controlPr>
            </control>
          </mc:Choice>
        </mc:AlternateContent>
        <mc:AlternateContent xmlns:mc="http://schemas.openxmlformats.org/markup-compatibility/2006">
          <mc:Choice Requires="x14">
            <control shapeId="27718" r:id="rId21" name="DeleteArcana">
              <controlPr defaultSize="0" print="0" autoFill="0" autoPict="0" macro="[0]!deleteLanguagesSpeciality">
                <anchor moveWithCells="1" sizeWithCells="1">
                  <from>
                    <xdr:col>2</xdr:col>
                    <xdr:colOff>228600</xdr:colOff>
                    <xdr:row>43</xdr:row>
                    <xdr:rowOff>38100</xdr:rowOff>
                  </from>
                  <to>
                    <xdr:col>2</xdr:col>
                    <xdr:colOff>847725</xdr:colOff>
                    <xdr:row>43</xdr:row>
                    <xdr:rowOff>142875</xdr:rowOff>
                  </to>
                </anchor>
              </controlPr>
            </control>
          </mc:Choice>
        </mc:AlternateContent>
        <mc:AlternateContent xmlns:mc="http://schemas.openxmlformats.org/markup-compatibility/2006">
          <mc:Choice Requires="x14">
            <control shapeId="27719" r:id="rId22" name="AddMelee">
              <controlPr defaultSize="0" print="0" autoFill="0" autoPict="0" macro="[0]!newMeleeSpeciality">
                <anchor moveWithCells="1" sizeWithCells="1">
                  <from>
                    <xdr:col>1</xdr:col>
                    <xdr:colOff>266700</xdr:colOff>
                    <xdr:row>22</xdr:row>
                    <xdr:rowOff>38100</xdr:rowOff>
                  </from>
                  <to>
                    <xdr:col>1</xdr:col>
                    <xdr:colOff>866775</xdr:colOff>
                    <xdr:row>22</xdr:row>
                    <xdr:rowOff>152400</xdr:rowOff>
                  </to>
                </anchor>
              </controlPr>
            </control>
          </mc:Choice>
        </mc:AlternateContent>
        <mc:AlternateContent xmlns:mc="http://schemas.openxmlformats.org/markup-compatibility/2006">
          <mc:Choice Requires="x14">
            <control shapeId="27720" r:id="rId23" name="AddRanged">
              <controlPr defaultSize="0" print="0" autoFill="0" autoPict="0" macro="[0]!newRangedSpeciality">
                <anchor moveWithCells="1" sizeWithCells="1">
                  <from>
                    <xdr:col>1</xdr:col>
                    <xdr:colOff>266700</xdr:colOff>
                    <xdr:row>23</xdr:row>
                    <xdr:rowOff>38100</xdr:rowOff>
                  </from>
                  <to>
                    <xdr:col>1</xdr:col>
                    <xdr:colOff>866775</xdr:colOff>
                    <xdr:row>23</xdr:row>
                    <xdr:rowOff>152400</xdr:rowOff>
                  </to>
                </anchor>
              </controlPr>
            </control>
          </mc:Choice>
        </mc:AlternateContent>
        <mc:AlternateContent xmlns:mc="http://schemas.openxmlformats.org/markup-compatibility/2006">
          <mc:Choice Requires="x14">
            <control shapeId="27721" r:id="rId24" name="AddStealth">
              <controlPr defaultSize="0" print="0" autoFill="0" autoPict="0" macro="[0]!newStealthSpeciality">
                <anchor moveWithCells="1" sizeWithCells="1">
                  <from>
                    <xdr:col>1</xdr:col>
                    <xdr:colOff>266700</xdr:colOff>
                    <xdr:row>26</xdr:row>
                    <xdr:rowOff>38100</xdr:rowOff>
                  </from>
                  <to>
                    <xdr:col>1</xdr:col>
                    <xdr:colOff>866775</xdr:colOff>
                    <xdr:row>26</xdr:row>
                    <xdr:rowOff>152400</xdr:rowOff>
                  </to>
                </anchor>
              </controlPr>
            </control>
          </mc:Choice>
        </mc:AlternateContent>
        <mc:AlternateContent xmlns:mc="http://schemas.openxmlformats.org/markup-compatibility/2006">
          <mc:Choice Requires="x14">
            <control shapeId="27722" r:id="rId25" name="AddUnarmed">
              <controlPr defaultSize="0" print="0" autoFill="0" autoPict="0" macro="[0]!newUnarmedSpeciality">
                <anchor moveWithCells="1" sizeWithCells="1">
                  <from>
                    <xdr:col>1</xdr:col>
                    <xdr:colOff>266700</xdr:colOff>
                    <xdr:row>24</xdr:row>
                    <xdr:rowOff>38100</xdr:rowOff>
                  </from>
                  <to>
                    <xdr:col>1</xdr:col>
                    <xdr:colOff>866775</xdr:colOff>
                    <xdr:row>24</xdr:row>
                    <xdr:rowOff>152400</xdr:rowOff>
                  </to>
                </anchor>
              </controlPr>
            </control>
          </mc:Choice>
        </mc:AlternateContent>
        <mc:AlternateContent xmlns:mc="http://schemas.openxmlformats.org/markup-compatibility/2006">
          <mc:Choice Requires="x14">
            <control shapeId="27723" r:id="rId26" name="AddSurvival">
              <controlPr defaultSize="0" print="0" autoFill="0" autoPict="0" macro="[0]!newSurvivalSpeciality">
                <anchor moveWithCells="1" sizeWithCells="1">
                  <from>
                    <xdr:col>1</xdr:col>
                    <xdr:colOff>266700</xdr:colOff>
                    <xdr:row>27</xdr:row>
                    <xdr:rowOff>38100</xdr:rowOff>
                  </from>
                  <to>
                    <xdr:col>1</xdr:col>
                    <xdr:colOff>866775</xdr:colOff>
                    <xdr:row>27</xdr:row>
                    <xdr:rowOff>152400</xdr:rowOff>
                  </to>
                </anchor>
              </controlPr>
            </control>
          </mc:Choice>
        </mc:AlternateContent>
        <mc:AlternateContent xmlns:mc="http://schemas.openxmlformats.org/markup-compatibility/2006">
          <mc:Choice Requires="x14">
            <control shapeId="27724" r:id="rId27" name="AddAnimalHandling">
              <controlPr defaultSize="0" print="0" autoFill="0" autoPict="0" macro="[0]!newAnimalHandlingSpeciality">
                <anchor moveWithCells="1" sizeWithCells="1">
                  <from>
                    <xdr:col>1</xdr:col>
                    <xdr:colOff>266700</xdr:colOff>
                    <xdr:row>32</xdr:row>
                    <xdr:rowOff>38100</xdr:rowOff>
                  </from>
                  <to>
                    <xdr:col>1</xdr:col>
                    <xdr:colOff>866775</xdr:colOff>
                    <xdr:row>32</xdr:row>
                    <xdr:rowOff>152400</xdr:rowOff>
                  </to>
                </anchor>
              </controlPr>
            </control>
          </mc:Choice>
        </mc:AlternateContent>
        <mc:AlternateContent xmlns:mc="http://schemas.openxmlformats.org/markup-compatibility/2006">
          <mc:Choice Requires="x14">
            <control shapeId="27725" r:id="rId28" name="AddDiscipline">
              <controlPr defaultSize="0" print="0" autoFill="0" autoPict="0" macro="[0]!newDisciplineSpeciality">
                <anchor moveWithCells="1" sizeWithCells="1">
                  <from>
                    <xdr:col>1</xdr:col>
                    <xdr:colOff>266700</xdr:colOff>
                    <xdr:row>29</xdr:row>
                    <xdr:rowOff>38100</xdr:rowOff>
                  </from>
                  <to>
                    <xdr:col>1</xdr:col>
                    <xdr:colOff>866775</xdr:colOff>
                    <xdr:row>29</xdr:row>
                    <xdr:rowOff>152400</xdr:rowOff>
                  </to>
                </anchor>
              </controlPr>
            </control>
          </mc:Choice>
        </mc:AlternateContent>
        <mc:AlternateContent xmlns:mc="http://schemas.openxmlformats.org/markup-compatibility/2006">
          <mc:Choice Requires="x14">
            <control shapeId="27726" r:id="rId29" name="AddPerformance">
              <controlPr defaultSize="0" print="0" autoFill="0" autoPict="0" macro="[0]!newPerformanceSpeciality">
                <anchor moveWithCells="1" sizeWithCells="1">
                  <from>
                    <xdr:col>1</xdr:col>
                    <xdr:colOff>266700</xdr:colOff>
                    <xdr:row>33</xdr:row>
                    <xdr:rowOff>38100</xdr:rowOff>
                  </from>
                  <to>
                    <xdr:col>1</xdr:col>
                    <xdr:colOff>866775</xdr:colOff>
                    <xdr:row>33</xdr:row>
                    <xdr:rowOff>152400</xdr:rowOff>
                  </to>
                </anchor>
              </controlPr>
            </control>
          </mc:Choice>
        </mc:AlternateContent>
        <mc:AlternateContent xmlns:mc="http://schemas.openxmlformats.org/markup-compatibility/2006">
          <mc:Choice Requires="x14">
            <control shapeId="27727" r:id="rId30" name="AddStreetwise">
              <controlPr defaultSize="0" print="0" autoFill="0" autoPict="0" macro="[0]!newStreetwiseSpeciality">
                <anchor moveWithCells="1" sizeWithCells="1">
                  <from>
                    <xdr:col>1</xdr:col>
                    <xdr:colOff>266700</xdr:colOff>
                    <xdr:row>31</xdr:row>
                    <xdr:rowOff>38100</xdr:rowOff>
                  </from>
                  <to>
                    <xdr:col>1</xdr:col>
                    <xdr:colOff>866775</xdr:colOff>
                    <xdr:row>31</xdr:row>
                    <xdr:rowOff>152400</xdr:rowOff>
                  </to>
                </anchor>
              </controlPr>
            </control>
          </mc:Choice>
        </mc:AlternateContent>
        <mc:AlternateContent xmlns:mc="http://schemas.openxmlformats.org/markup-compatibility/2006">
          <mc:Choice Requires="x14">
            <control shapeId="27728" r:id="rId31" name="AddSocial">
              <controlPr defaultSize="0" print="0" autoFill="0" autoPict="0" macro="[0]!newSocialSpeciality">
                <anchor moveWithCells="1" sizeWithCells="1">
                  <from>
                    <xdr:col>1</xdr:col>
                    <xdr:colOff>266700</xdr:colOff>
                    <xdr:row>30</xdr:row>
                    <xdr:rowOff>38100</xdr:rowOff>
                  </from>
                  <to>
                    <xdr:col>1</xdr:col>
                    <xdr:colOff>866775</xdr:colOff>
                    <xdr:row>30</xdr:row>
                    <xdr:rowOff>152400</xdr:rowOff>
                  </to>
                </anchor>
              </controlPr>
            </control>
          </mc:Choice>
        </mc:AlternateContent>
        <mc:AlternateContent xmlns:mc="http://schemas.openxmlformats.org/markup-compatibility/2006">
          <mc:Choice Requires="x14">
            <control shapeId="27729" r:id="rId32" name="AddAlertness">
              <controlPr defaultSize="0" print="0" autoFill="0" autoPict="0" macro="[0]!newAlertnessSpeciality">
                <anchor moveWithCells="1" sizeWithCells="1">
                  <from>
                    <xdr:col>1</xdr:col>
                    <xdr:colOff>266700</xdr:colOff>
                    <xdr:row>28</xdr:row>
                    <xdr:rowOff>38100</xdr:rowOff>
                  </from>
                  <to>
                    <xdr:col>1</xdr:col>
                    <xdr:colOff>866775</xdr:colOff>
                    <xdr:row>28</xdr:row>
                    <xdr:rowOff>152400</xdr:rowOff>
                  </to>
                </anchor>
              </controlPr>
            </control>
          </mc:Choice>
        </mc:AlternateContent>
        <mc:AlternateContent xmlns:mc="http://schemas.openxmlformats.org/markup-compatibility/2006">
          <mc:Choice Requires="x14">
            <control shapeId="27730" r:id="rId33" name="AddCraft">
              <controlPr defaultSize="0" print="0" autoFill="0" autoPict="0" macro="[0]!newCraftSpeciality">
                <anchor moveWithCells="1" sizeWithCells="1">
                  <from>
                    <xdr:col>1</xdr:col>
                    <xdr:colOff>266700</xdr:colOff>
                    <xdr:row>35</xdr:row>
                    <xdr:rowOff>38100</xdr:rowOff>
                  </from>
                  <to>
                    <xdr:col>1</xdr:col>
                    <xdr:colOff>866775</xdr:colOff>
                    <xdr:row>35</xdr:row>
                    <xdr:rowOff>152400</xdr:rowOff>
                  </to>
                </anchor>
              </controlPr>
            </control>
          </mc:Choice>
        </mc:AlternateContent>
        <mc:AlternateContent xmlns:mc="http://schemas.openxmlformats.org/markup-compatibility/2006">
          <mc:Choice Requires="x14">
            <control shapeId="27731" r:id="rId34" name="AddArtistry">
              <controlPr defaultSize="0" print="0" autoFill="0" autoPict="0" macro="[0]!newArtistrySpeciality">
                <anchor moveWithCells="1" sizeWithCells="1">
                  <from>
                    <xdr:col>1</xdr:col>
                    <xdr:colOff>266700</xdr:colOff>
                    <xdr:row>34</xdr:row>
                    <xdr:rowOff>38100</xdr:rowOff>
                  </from>
                  <to>
                    <xdr:col>1</xdr:col>
                    <xdr:colOff>866775</xdr:colOff>
                    <xdr:row>34</xdr:row>
                    <xdr:rowOff>152400</xdr:rowOff>
                  </to>
                </anchor>
              </controlPr>
            </control>
          </mc:Choice>
        </mc:AlternateContent>
        <mc:AlternateContent xmlns:mc="http://schemas.openxmlformats.org/markup-compatibility/2006">
          <mc:Choice Requires="x14">
            <control shapeId="27732" r:id="rId35" name="AddAcademia">
              <controlPr defaultSize="0" print="0" autoFill="0" autoPict="0" macro="[0]!newMechanicsSpeciality">
                <anchor moveWithCells="1" sizeWithCells="1">
                  <from>
                    <xdr:col>1</xdr:col>
                    <xdr:colOff>266700</xdr:colOff>
                    <xdr:row>37</xdr:row>
                    <xdr:rowOff>38100</xdr:rowOff>
                  </from>
                  <to>
                    <xdr:col>1</xdr:col>
                    <xdr:colOff>866775</xdr:colOff>
                    <xdr:row>37</xdr:row>
                    <xdr:rowOff>152400</xdr:rowOff>
                  </to>
                </anchor>
              </controlPr>
            </control>
          </mc:Choice>
        </mc:AlternateContent>
        <mc:AlternateContent xmlns:mc="http://schemas.openxmlformats.org/markup-compatibility/2006">
          <mc:Choice Requires="x14">
            <control shapeId="27733" r:id="rId36" name="AddArcana">
              <controlPr defaultSize="0" print="0" autoFill="0" autoPict="0" macro="[0]!newLanguagesSpeciality">
                <anchor moveWithCells="1" sizeWithCells="1">
                  <from>
                    <xdr:col>1</xdr:col>
                    <xdr:colOff>266700</xdr:colOff>
                    <xdr:row>43</xdr:row>
                    <xdr:rowOff>38100</xdr:rowOff>
                  </from>
                  <to>
                    <xdr:col>1</xdr:col>
                    <xdr:colOff>866775</xdr:colOff>
                    <xdr:row>43</xdr:row>
                    <xdr:rowOff>152400</xdr:rowOff>
                  </to>
                </anchor>
              </controlPr>
            </control>
          </mc:Choice>
        </mc:AlternateContent>
        <mc:AlternateContent xmlns:mc="http://schemas.openxmlformats.org/markup-compatibility/2006">
          <mc:Choice Requires="x14">
            <control shapeId="27734" r:id="rId37" name="AddDevices">
              <controlPr defaultSize="0" print="0" autoFill="0" autoPict="0" macro="[0]!newDemolitionsSpeciality">
                <anchor moveWithCells="1" sizeWithCells="1">
                  <from>
                    <xdr:col>1</xdr:col>
                    <xdr:colOff>266700</xdr:colOff>
                    <xdr:row>36</xdr:row>
                    <xdr:rowOff>38100</xdr:rowOff>
                  </from>
                  <to>
                    <xdr:col>1</xdr:col>
                    <xdr:colOff>866775</xdr:colOff>
                    <xdr:row>36</xdr:row>
                    <xdr:rowOff>152400</xdr:rowOff>
                  </to>
                </anchor>
              </controlPr>
            </control>
          </mc:Choice>
        </mc:AlternateContent>
        <mc:AlternateContent xmlns:mc="http://schemas.openxmlformats.org/markup-compatibility/2006">
          <mc:Choice Requires="x14">
            <control shapeId="27754" r:id="rId38" name="Button 16490">
              <controlPr defaultSize="0" print="0" autoFill="0" autoPict="0" macro="[0]!characterSheetGeneration2">
                <anchor moveWithCells="1" sizeWithCells="1">
                  <from>
                    <xdr:col>0</xdr:col>
                    <xdr:colOff>219075</xdr:colOff>
                    <xdr:row>54</xdr:row>
                    <xdr:rowOff>0</xdr:rowOff>
                  </from>
                  <to>
                    <xdr:col>10</xdr:col>
                    <xdr:colOff>609600</xdr:colOff>
                    <xdr:row>57</xdr:row>
                    <xdr:rowOff>114300</xdr:rowOff>
                  </to>
                </anchor>
              </controlPr>
            </control>
          </mc:Choice>
        </mc:AlternateContent>
        <mc:AlternateContent xmlns:mc="http://schemas.openxmlformats.org/markup-compatibility/2006">
          <mc:Choice Requires="x14">
            <control shapeId="27759" r:id="rId39" name="Button 16495">
              <controlPr defaultSize="0" print="0" autoFill="0" autoPict="0" macro="[0]!deleteTechHardwareSpeciality">
                <anchor moveWithCells="1" sizeWithCells="1">
                  <from>
                    <xdr:col>2</xdr:col>
                    <xdr:colOff>228600</xdr:colOff>
                    <xdr:row>38</xdr:row>
                    <xdr:rowOff>38100</xdr:rowOff>
                  </from>
                  <to>
                    <xdr:col>2</xdr:col>
                    <xdr:colOff>847725</xdr:colOff>
                    <xdr:row>38</xdr:row>
                    <xdr:rowOff>142875</xdr:rowOff>
                  </to>
                </anchor>
              </controlPr>
            </control>
          </mc:Choice>
        </mc:AlternateContent>
        <mc:AlternateContent xmlns:mc="http://schemas.openxmlformats.org/markup-compatibility/2006">
          <mc:Choice Requires="x14">
            <control shapeId="27760" r:id="rId40" name="Button 16496">
              <controlPr defaultSize="0" print="0" autoFill="0" autoPict="0" macro="[0]!newTechHardwareSpeciality">
                <anchor moveWithCells="1" sizeWithCells="1">
                  <from>
                    <xdr:col>1</xdr:col>
                    <xdr:colOff>266700</xdr:colOff>
                    <xdr:row>38</xdr:row>
                    <xdr:rowOff>38100</xdr:rowOff>
                  </from>
                  <to>
                    <xdr:col>1</xdr:col>
                    <xdr:colOff>866775</xdr:colOff>
                    <xdr:row>38</xdr:row>
                    <xdr:rowOff>152400</xdr:rowOff>
                  </to>
                </anchor>
              </controlPr>
            </control>
          </mc:Choice>
        </mc:AlternateContent>
        <mc:AlternateContent xmlns:mc="http://schemas.openxmlformats.org/markup-compatibility/2006">
          <mc:Choice Requires="x14">
            <control shapeId="27761" r:id="rId41" name="Button 16497">
              <controlPr defaultSize="0" print="0" autoFill="0" autoPict="0" macro="[0]!deleteTechSoftwareSpeciality">
                <anchor moveWithCells="1" sizeWithCells="1">
                  <from>
                    <xdr:col>2</xdr:col>
                    <xdr:colOff>228600</xdr:colOff>
                    <xdr:row>39</xdr:row>
                    <xdr:rowOff>38100</xdr:rowOff>
                  </from>
                  <to>
                    <xdr:col>2</xdr:col>
                    <xdr:colOff>847725</xdr:colOff>
                    <xdr:row>39</xdr:row>
                    <xdr:rowOff>142875</xdr:rowOff>
                  </to>
                </anchor>
              </controlPr>
            </control>
          </mc:Choice>
        </mc:AlternateContent>
        <mc:AlternateContent xmlns:mc="http://schemas.openxmlformats.org/markup-compatibility/2006">
          <mc:Choice Requires="x14">
            <control shapeId="27762" r:id="rId42" name="Button 16498">
              <controlPr defaultSize="0" print="0" autoFill="0" autoPict="0" macro="[0]!newTechSoftwareSpeciality">
                <anchor moveWithCells="1" sizeWithCells="1">
                  <from>
                    <xdr:col>1</xdr:col>
                    <xdr:colOff>266700</xdr:colOff>
                    <xdr:row>39</xdr:row>
                    <xdr:rowOff>38100</xdr:rowOff>
                  </from>
                  <to>
                    <xdr:col>1</xdr:col>
                    <xdr:colOff>866775</xdr:colOff>
                    <xdr:row>39</xdr:row>
                    <xdr:rowOff>152400</xdr:rowOff>
                  </to>
                </anchor>
              </controlPr>
            </control>
          </mc:Choice>
        </mc:AlternateContent>
        <mc:AlternateContent xmlns:mc="http://schemas.openxmlformats.org/markup-compatibility/2006">
          <mc:Choice Requires="x14">
            <control shapeId="27763" r:id="rId43" name="Button 16499">
              <controlPr defaultSize="0" print="0" autoFill="0" autoPict="0" macro="[0]!deleteKnowledgeArtsSpeciality">
                <anchor moveWithCells="1" sizeWithCells="1">
                  <from>
                    <xdr:col>2</xdr:col>
                    <xdr:colOff>228600</xdr:colOff>
                    <xdr:row>40</xdr:row>
                    <xdr:rowOff>38100</xdr:rowOff>
                  </from>
                  <to>
                    <xdr:col>2</xdr:col>
                    <xdr:colOff>847725</xdr:colOff>
                    <xdr:row>40</xdr:row>
                    <xdr:rowOff>142875</xdr:rowOff>
                  </to>
                </anchor>
              </controlPr>
            </control>
          </mc:Choice>
        </mc:AlternateContent>
        <mc:AlternateContent xmlns:mc="http://schemas.openxmlformats.org/markup-compatibility/2006">
          <mc:Choice Requires="x14">
            <control shapeId="27764" r:id="rId44" name="Button 16500">
              <controlPr defaultSize="0" print="0" autoFill="0" autoPict="0" macro="[0]!newKnowledgeArtsSpeciality">
                <anchor moveWithCells="1" sizeWithCells="1">
                  <from>
                    <xdr:col>1</xdr:col>
                    <xdr:colOff>266700</xdr:colOff>
                    <xdr:row>40</xdr:row>
                    <xdr:rowOff>38100</xdr:rowOff>
                  </from>
                  <to>
                    <xdr:col>1</xdr:col>
                    <xdr:colOff>866775</xdr:colOff>
                    <xdr:row>40</xdr:row>
                    <xdr:rowOff>152400</xdr:rowOff>
                  </to>
                </anchor>
              </controlPr>
            </control>
          </mc:Choice>
        </mc:AlternateContent>
        <mc:AlternateContent xmlns:mc="http://schemas.openxmlformats.org/markup-compatibility/2006">
          <mc:Choice Requires="x14">
            <control shapeId="27765" r:id="rId45" name="Button 16501">
              <controlPr defaultSize="0" print="0" autoFill="0" autoPict="0" macro="[0]!deleteKnowledgeSciencesSpeciality">
                <anchor moveWithCells="1" sizeWithCells="1">
                  <from>
                    <xdr:col>2</xdr:col>
                    <xdr:colOff>228600</xdr:colOff>
                    <xdr:row>41</xdr:row>
                    <xdr:rowOff>38100</xdr:rowOff>
                  </from>
                  <to>
                    <xdr:col>2</xdr:col>
                    <xdr:colOff>847725</xdr:colOff>
                    <xdr:row>41</xdr:row>
                    <xdr:rowOff>142875</xdr:rowOff>
                  </to>
                </anchor>
              </controlPr>
            </control>
          </mc:Choice>
        </mc:AlternateContent>
        <mc:AlternateContent xmlns:mc="http://schemas.openxmlformats.org/markup-compatibility/2006">
          <mc:Choice Requires="x14">
            <control shapeId="27766" r:id="rId46" name="Button 16502">
              <controlPr defaultSize="0" print="0" autoFill="0" autoPict="0" macro="[0]!newKnowledgeSciencesSpeciality">
                <anchor moveWithCells="1" sizeWithCells="1">
                  <from>
                    <xdr:col>1</xdr:col>
                    <xdr:colOff>266700</xdr:colOff>
                    <xdr:row>41</xdr:row>
                    <xdr:rowOff>38100</xdr:rowOff>
                  </from>
                  <to>
                    <xdr:col>1</xdr:col>
                    <xdr:colOff>866775</xdr:colOff>
                    <xdr:row>41</xdr:row>
                    <xdr:rowOff>152400</xdr:rowOff>
                  </to>
                </anchor>
              </controlPr>
            </control>
          </mc:Choice>
        </mc:AlternateContent>
        <mc:AlternateContent xmlns:mc="http://schemas.openxmlformats.org/markup-compatibility/2006">
          <mc:Choice Requires="x14">
            <control shapeId="27767" r:id="rId47" name="Button 16503">
              <controlPr defaultSize="0" print="0" autoFill="0" autoPict="0" macro="[0]!deleteProfessionSpeciality">
                <anchor moveWithCells="1" sizeWithCells="1">
                  <from>
                    <xdr:col>2</xdr:col>
                    <xdr:colOff>228600</xdr:colOff>
                    <xdr:row>42</xdr:row>
                    <xdr:rowOff>38100</xdr:rowOff>
                  </from>
                  <to>
                    <xdr:col>2</xdr:col>
                    <xdr:colOff>847725</xdr:colOff>
                    <xdr:row>42</xdr:row>
                    <xdr:rowOff>142875</xdr:rowOff>
                  </to>
                </anchor>
              </controlPr>
            </control>
          </mc:Choice>
        </mc:AlternateContent>
        <mc:AlternateContent xmlns:mc="http://schemas.openxmlformats.org/markup-compatibility/2006">
          <mc:Choice Requires="x14">
            <control shapeId="27768" r:id="rId48" name="Button 16504">
              <controlPr defaultSize="0" print="0" autoFill="0" autoPict="0" macro="[0]!newProfessionSpeciality">
                <anchor moveWithCells="1" sizeWithCells="1">
                  <from>
                    <xdr:col>1</xdr:col>
                    <xdr:colOff>266700</xdr:colOff>
                    <xdr:row>42</xdr:row>
                    <xdr:rowOff>38100</xdr:rowOff>
                  </from>
                  <to>
                    <xdr:col>1</xdr:col>
                    <xdr:colOff>866775</xdr:colOff>
                    <xdr:row>42</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125</vt:i4>
      </vt:variant>
    </vt:vector>
  </HeadingPairs>
  <TitlesOfParts>
    <vt:vector size="129" baseType="lpstr">
      <vt:lpstr>Back End</vt:lpstr>
      <vt:lpstr>Back End Traits</vt:lpstr>
      <vt:lpstr>Character Sheet Template</vt:lpstr>
      <vt:lpstr>Character Builder</vt:lpstr>
      <vt:lpstr>Alertness</vt:lpstr>
      <vt:lpstr>AlertnessList</vt:lpstr>
      <vt:lpstr>AlertnessNote</vt:lpstr>
      <vt:lpstr>AlertnessSpecBox</vt:lpstr>
      <vt:lpstr>AllTraitsGen</vt:lpstr>
      <vt:lpstr>AnimalHandling</vt:lpstr>
      <vt:lpstr>AnimalHandlingList</vt:lpstr>
      <vt:lpstr>AnimalHandlingNote</vt:lpstr>
      <vt:lpstr>AnimalHandlingSpecBox</vt:lpstr>
      <vt:lpstr>ArcanaList</vt:lpstr>
      <vt:lpstr>Artistry</vt:lpstr>
      <vt:lpstr>ArtistryList</vt:lpstr>
      <vt:lpstr>ArtistryNote</vt:lpstr>
      <vt:lpstr>ArtistrySpecBox</vt:lpstr>
      <vt:lpstr>Athletics</vt:lpstr>
      <vt:lpstr>AthleticsList</vt:lpstr>
      <vt:lpstr>AthleticsNote</vt:lpstr>
      <vt:lpstr>AthleticsSpecBox</vt:lpstr>
      <vt:lpstr>BalanceList</vt:lpstr>
      <vt:lpstr>charLevel</vt:lpstr>
      <vt:lpstr>charName</vt:lpstr>
      <vt:lpstr>CombatAssetsGen</vt:lpstr>
      <vt:lpstr>CombatAssetsList</vt:lpstr>
      <vt:lpstr>CombatAssetsTitle</vt:lpstr>
      <vt:lpstr>CombatFlawsGen</vt:lpstr>
      <vt:lpstr>CombatFlawsList</vt:lpstr>
      <vt:lpstr>CombatFlawsTitle</vt:lpstr>
      <vt:lpstr>Craft</vt:lpstr>
      <vt:lpstr>CraftList</vt:lpstr>
      <vt:lpstr>CraftNote</vt:lpstr>
      <vt:lpstr>CraftSpecBox</vt:lpstr>
      <vt:lpstr>Demolitions</vt:lpstr>
      <vt:lpstr>DemolitionsList</vt:lpstr>
      <vt:lpstr>DemolitionsNote</vt:lpstr>
      <vt:lpstr>DemolitionsSpecBox</vt:lpstr>
      <vt:lpstr>DevicesList</vt:lpstr>
      <vt:lpstr>Discipline</vt:lpstr>
      <vt:lpstr>DisciplineList</vt:lpstr>
      <vt:lpstr>DisciplineNote</vt:lpstr>
      <vt:lpstr>DisciplineSpecBox</vt:lpstr>
      <vt:lpstr>HitPoints</vt:lpstr>
      <vt:lpstr>Initiative</vt:lpstr>
      <vt:lpstr>KnowledgeArts</vt:lpstr>
      <vt:lpstr>KnowledgeArtsList</vt:lpstr>
      <vt:lpstr>KnowledgeArtsNote</vt:lpstr>
      <vt:lpstr>KnowledgeArtsSpecBox</vt:lpstr>
      <vt:lpstr>KnowledgeSciences</vt:lpstr>
      <vt:lpstr>KnowledgeSciencesList</vt:lpstr>
      <vt:lpstr>KnowledgeSciencesNote</vt:lpstr>
      <vt:lpstr>KnowledgeSciencesSpecBox</vt:lpstr>
      <vt:lpstr>Languages</vt:lpstr>
      <vt:lpstr>LanguagesList</vt:lpstr>
      <vt:lpstr>LanguagesNote</vt:lpstr>
      <vt:lpstr>LanguagesSpecBox</vt:lpstr>
      <vt:lpstr>Mechanics</vt:lpstr>
      <vt:lpstr>MechanicsList</vt:lpstr>
      <vt:lpstr>MechanicsNote</vt:lpstr>
      <vt:lpstr>MechanicsSpecBox</vt:lpstr>
      <vt:lpstr>Melee</vt:lpstr>
      <vt:lpstr>MeleeList</vt:lpstr>
      <vt:lpstr>MeleeNote</vt:lpstr>
      <vt:lpstr>MeleeSpecBox</vt:lpstr>
      <vt:lpstr>MundaneAssetMajorBought</vt:lpstr>
      <vt:lpstr>MundaneAssetMinorBought</vt:lpstr>
      <vt:lpstr>MundaneAssetQuirksBought</vt:lpstr>
      <vt:lpstr>MundaneAssetsGen</vt:lpstr>
      <vt:lpstr>MundaneAssetsList</vt:lpstr>
      <vt:lpstr>MundaneAssetsTitle</vt:lpstr>
      <vt:lpstr>MundaneFlawsGen</vt:lpstr>
      <vt:lpstr>MundaneFlawsList</vt:lpstr>
      <vt:lpstr>MundaneFlawsTitle</vt:lpstr>
      <vt:lpstr>PactSkills</vt:lpstr>
      <vt:lpstr>Performance</vt:lpstr>
      <vt:lpstr>PerformanceList</vt:lpstr>
      <vt:lpstr>PerformanceNote</vt:lpstr>
      <vt:lpstr>PerformanceSpecBox</vt:lpstr>
      <vt:lpstr>PerformList</vt:lpstr>
      <vt:lpstr>Profession</vt:lpstr>
      <vt:lpstr>ProfessionList</vt:lpstr>
      <vt:lpstr>ProfessionNote</vt:lpstr>
      <vt:lpstr>ProfessionSpecBox</vt:lpstr>
      <vt:lpstr>Ranged</vt:lpstr>
      <vt:lpstr>RangedList</vt:lpstr>
      <vt:lpstr>RangedNote</vt:lpstr>
      <vt:lpstr>RangedSpecBox</vt:lpstr>
      <vt:lpstr>SkillPointsSpent</vt:lpstr>
      <vt:lpstr>SkillScores</vt:lpstr>
      <vt:lpstr>Social</vt:lpstr>
      <vt:lpstr>SocialList</vt:lpstr>
      <vt:lpstr>SocialNote</vt:lpstr>
      <vt:lpstr>SocialSpecBox</vt:lpstr>
      <vt:lpstr>StatPointsSpent</vt:lpstr>
      <vt:lpstr>statsInput</vt:lpstr>
      <vt:lpstr>Stealth</vt:lpstr>
      <vt:lpstr>StealthList</vt:lpstr>
      <vt:lpstr>StealthNote</vt:lpstr>
      <vt:lpstr>StealthSpecBox</vt:lpstr>
      <vt:lpstr>Streetwise</vt:lpstr>
      <vt:lpstr>StreetwiseList</vt:lpstr>
      <vt:lpstr>StreetwiseNote</vt:lpstr>
      <vt:lpstr>StreetwiseSpecBox</vt:lpstr>
      <vt:lpstr>SuparnaturalFlawsList</vt:lpstr>
      <vt:lpstr>SupernaturalAssetsGen</vt:lpstr>
      <vt:lpstr>SupernaturalAssetsList</vt:lpstr>
      <vt:lpstr>SupernaturalAssetsTitle</vt:lpstr>
      <vt:lpstr>SupernaturalFlawsGen</vt:lpstr>
      <vt:lpstr>SupernaturalFlawsList</vt:lpstr>
      <vt:lpstr>SupernaturalFlawsTitle</vt:lpstr>
      <vt:lpstr>Survival</vt:lpstr>
      <vt:lpstr>SurvivalList</vt:lpstr>
      <vt:lpstr>SurvivalNote</vt:lpstr>
      <vt:lpstr>SurvivalSpecBox</vt:lpstr>
      <vt:lpstr>TechHardware</vt:lpstr>
      <vt:lpstr>TechHardwareList</vt:lpstr>
      <vt:lpstr>TechHardwareNote</vt:lpstr>
      <vt:lpstr>TechHardwareSpecBox</vt:lpstr>
      <vt:lpstr>TechSoftware</vt:lpstr>
      <vt:lpstr>TechSoftwareList</vt:lpstr>
      <vt:lpstr>TechSoftwareNote</vt:lpstr>
      <vt:lpstr>TechSoftwareSpecBox</vt:lpstr>
      <vt:lpstr>Unarmed</vt:lpstr>
      <vt:lpstr>UnarmedList</vt:lpstr>
      <vt:lpstr>UnarmedNote</vt:lpstr>
      <vt:lpstr>UnarmedSpecBox</vt:lpstr>
      <vt:lpstr>Willpower</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Dave-on-the-PC</dc:creator>
  <cp:lastModifiedBy>Dave Mills</cp:lastModifiedBy>
  <cp:lastPrinted>2014-01-03T17:53:11Z</cp:lastPrinted>
  <dcterms:created xsi:type="dcterms:W3CDTF">2012-07-27T12:19:01Z</dcterms:created>
  <dcterms:modified xsi:type="dcterms:W3CDTF">2014-01-03T17:54:35Z</dcterms:modified>
</cp:coreProperties>
</file>